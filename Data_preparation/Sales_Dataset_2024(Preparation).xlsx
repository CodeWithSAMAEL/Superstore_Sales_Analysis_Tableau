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908C9B2F-08AB-48CA-A151-5B746D215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J108" i="1"/>
  <c r="J219" i="1"/>
  <c r="J251" i="1"/>
  <c r="J320" i="1"/>
  <c r="J476" i="1"/>
  <c r="J507" i="1"/>
  <c r="J509" i="1"/>
  <c r="J624" i="1"/>
  <c r="J651" i="1"/>
  <c r="J652" i="1"/>
  <c r="J654" i="1"/>
  <c r="J667" i="1"/>
  <c r="J764" i="1"/>
  <c r="J955" i="1"/>
  <c r="J956" i="1"/>
  <c r="J1275" i="1"/>
  <c r="J1277" i="1"/>
  <c r="J1307" i="1"/>
  <c r="J1437" i="1"/>
  <c r="J1488" i="1"/>
  <c r="J1869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I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I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I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I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I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I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I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I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H442" i="1"/>
  <c r="J442" i="1" s="1"/>
  <c r="H443" i="1"/>
  <c r="I443" i="1" s="1"/>
  <c r="H444" i="1"/>
  <c r="J444" i="1" s="1"/>
  <c r="H445" i="1"/>
  <c r="J445" i="1" s="1"/>
  <c r="H446" i="1"/>
  <c r="H447" i="1"/>
  <c r="J447" i="1" s="1"/>
  <c r="H448" i="1"/>
  <c r="J448" i="1" s="1"/>
  <c r="H449" i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I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H508" i="1"/>
  <c r="J508" i="1" s="1"/>
  <c r="H509" i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I541" i="1" s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I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I589" i="1" s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H652" i="1"/>
  <c r="H653" i="1"/>
  <c r="J653" i="1" s="1"/>
  <c r="H654" i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H682" i="1"/>
  <c r="J682" i="1" s="1"/>
  <c r="H683" i="1"/>
  <c r="I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I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H765" i="1"/>
  <c r="J765" i="1" s="1"/>
  <c r="H766" i="1"/>
  <c r="J766" i="1" s="1"/>
  <c r="H767" i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I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H955" i="1"/>
  <c r="H956" i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H980" i="1"/>
  <c r="J980" i="1" s="1"/>
  <c r="H981" i="1"/>
  <c r="J981" i="1" s="1"/>
  <c r="H982" i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I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I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I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H1120" i="1"/>
  <c r="J1120" i="1" s="1"/>
  <c r="H1121" i="1"/>
  <c r="J1121" i="1" s="1"/>
  <c r="H1122" i="1"/>
  <c r="J1122" i="1" s="1"/>
  <c r="H1123" i="1"/>
  <c r="H1124" i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H1207" i="1"/>
  <c r="J1207" i="1" s="1"/>
  <c r="H1208" i="1"/>
  <c r="I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I1260" i="1" s="1"/>
  <c r="H1261" i="1"/>
  <c r="J1261" i="1" s="1"/>
  <c r="H1262" i="1"/>
  <c r="J1262" i="1" s="1"/>
  <c r="H1263" i="1"/>
  <c r="J1263" i="1" s="1"/>
  <c r="H1264" i="1"/>
  <c r="I1264" i="1" s="1"/>
  <c r="H1265" i="1"/>
  <c r="J1265" i="1" s="1"/>
  <c r="H1266" i="1"/>
  <c r="J1266" i="1" s="1"/>
  <c r="H1267" i="1"/>
  <c r="J1267" i="1" s="1"/>
  <c r="H1268" i="1"/>
  <c r="J1268" i="1" s="1"/>
  <c r="H1269" i="1"/>
  <c r="H1270" i="1"/>
  <c r="J1270" i="1" s="1"/>
  <c r="H1271" i="1"/>
  <c r="J1271" i="1" s="1"/>
  <c r="H1272" i="1"/>
  <c r="J1272" i="1" s="1"/>
  <c r="H1273" i="1"/>
  <c r="J1273" i="1" s="1"/>
  <c r="H1274" i="1"/>
  <c r="H1275" i="1"/>
  <c r="H1276" i="1"/>
  <c r="J1276" i="1" s="1"/>
  <c r="H1277" i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I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H1401" i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I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H1489" i="1"/>
  <c r="J1489" i="1" s="1"/>
  <c r="H1490" i="1"/>
  <c r="J1490" i="1" s="1"/>
  <c r="H1491" i="1"/>
  <c r="J1491" i="1" s="1"/>
  <c r="H1492" i="1"/>
  <c r="J1492" i="1" s="1"/>
  <c r="H1493" i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I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I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I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I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I1617" i="1" s="1"/>
  <c r="H1618" i="1"/>
  <c r="J1618" i="1" s="1"/>
  <c r="H1619" i="1"/>
  <c r="J1619" i="1" s="1"/>
  <c r="H1620" i="1"/>
  <c r="J1620" i="1" s="1"/>
  <c r="H1621" i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J1645" i="1" s="1"/>
  <c r="H1646" i="1"/>
  <c r="J1646" i="1" s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J1654" i="1" s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J1669" i="1" s="1"/>
  <c r="H1670" i="1"/>
  <c r="I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J1709" i="1" s="1"/>
  <c r="H1710" i="1"/>
  <c r="J1710" i="1" s="1"/>
  <c r="H1711" i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I1735" i="1" s="1"/>
  <c r="H1736" i="1"/>
  <c r="J1736" i="1" s="1"/>
  <c r="H1737" i="1"/>
  <c r="I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H1755" i="1"/>
  <c r="J1755" i="1" s="1"/>
  <c r="H1756" i="1"/>
  <c r="I1756" i="1" s="1"/>
  <c r="H1757" i="1"/>
  <c r="J1757" i="1" s="1"/>
  <c r="H1758" i="1"/>
  <c r="J1758" i="1" s="1"/>
  <c r="H1759" i="1"/>
  <c r="J1759" i="1" s="1"/>
  <c r="H1760" i="1"/>
  <c r="I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I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I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" i="1"/>
  <c r="J2" i="1" s="1"/>
  <c r="J364" i="1" l="1"/>
  <c r="J1424" i="1"/>
  <c r="J1051" i="1"/>
  <c r="J1760" i="1"/>
  <c r="J1552" i="1"/>
  <c r="J717" i="1"/>
  <c r="J208" i="1"/>
  <c r="J443" i="1"/>
  <c r="J1824" i="1"/>
  <c r="J555" i="1"/>
  <c r="J1104" i="1"/>
  <c r="I1847" i="1"/>
  <c r="J1847" i="1" s="1"/>
  <c r="J173" i="1"/>
  <c r="J155" i="1"/>
  <c r="I1119" i="1"/>
  <c r="J1119" i="1" s="1"/>
  <c r="I767" i="1"/>
  <c r="J767" i="1" s="1"/>
  <c r="I527" i="1"/>
  <c r="J527" i="1" s="1"/>
  <c r="I431" i="1"/>
  <c r="J431" i="1" s="1"/>
  <c r="I287" i="1"/>
  <c r="J287" i="1" s="1"/>
  <c r="I702" i="1"/>
  <c r="J702" i="1" s="1"/>
  <c r="I462" i="1"/>
  <c r="J462" i="1"/>
  <c r="I446" i="1"/>
  <c r="J446" i="1" s="1"/>
  <c r="J1569" i="1"/>
  <c r="J1854" i="1"/>
  <c r="J1756" i="1"/>
  <c r="J1670" i="1"/>
  <c r="I1621" i="1"/>
  <c r="J1621" i="1"/>
  <c r="J1509" i="1"/>
  <c r="I1493" i="1"/>
  <c r="J1493" i="1" s="1"/>
  <c r="I1269" i="1"/>
  <c r="J1269" i="1"/>
  <c r="I789" i="1"/>
  <c r="J789" i="1" s="1"/>
  <c r="I645" i="1"/>
  <c r="J645" i="1" s="1"/>
  <c r="I501" i="1"/>
  <c r="J501" i="1" s="1"/>
  <c r="J469" i="1"/>
  <c r="J261" i="1"/>
  <c r="I149" i="1"/>
  <c r="J149" i="1" s="1"/>
  <c r="I1124" i="1"/>
  <c r="J1124" i="1"/>
  <c r="I36" i="1"/>
  <c r="J36" i="1"/>
  <c r="I449" i="1"/>
  <c r="J449" i="1" s="1"/>
  <c r="J849" i="1"/>
  <c r="I1123" i="1"/>
  <c r="J1123" i="1" s="1"/>
  <c r="I979" i="1"/>
  <c r="J979" i="1"/>
  <c r="J1617" i="1"/>
  <c r="I1711" i="1"/>
  <c r="J1711" i="1" s="1"/>
  <c r="I242" i="1"/>
  <c r="J242" i="1"/>
  <c r="I1754" i="1"/>
  <c r="J1754" i="1" s="1"/>
  <c r="J1296" i="1"/>
  <c r="J1068" i="1"/>
  <c r="I1401" i="1"/>
  <c r="J1401" i="1" s="1"/>
  <c r="J683" i="1"/>
  <c r="I1400" i="1"/>
  <c r="J1400" i="1" s="1"/>
  <c r="J1264" i="1"/>
  <c r="J128" i="1"/>
  <c r="I1274" i="1"/>
  <c r="J1274" i="1" s="1"/>
  <c r="I954" i="1"/>
  <c r="J954" i="1"/>
  <c r="I314" i="1"/>
  <c r="J314" i="1"/>
  <c r="J1737" i="1"/>
  <c r="J1208" i="1"/>
  <c r="J272" i="1"/>
  <c r="J16" i="1"/>
  <c r="I681" i="1"/>
  <c r="J681" i="1"/>
  <c r="I441" i="1"/>
  <c r="J441" i="1"/>
  <c r="I297" i="1"/>
  <c r="J297" i="1"/>
  <c r="I201" i="1"/>
  <c r="J201" i="1" s="1"/>
  <c r="I121" i="1"/>
  <c r="J121" i="1" s="1"/>
  <c r="J1544" i="1"/>
  <c r="I904" i="1"/>
  <c r="J904" i="1"/>
  <c r="I280" i="1"/>
  <c r="J280" i="1" s="1"/>
  <c r="I184" i="1"/>
  <c r="J184" i="1" s="1"/>
  <c r="J1735" i="1"/>
  <c r="I55" i="1"/>
  <c r="J55" i="1"/>
  <c r="J1260" i="1"/>
  <c r="I1318" i="1"/>
  <c r="J1318" i="1" s="1"/>
  <c r="I1206" i="1"/>
  <c r="J1206" i="1"/>
  <c r="I982" i="1"/>
  <c r="J982" i="1" s="1"/>
  <c r="I822" i="1"/>
  <c r="J822" i="1"/>
  <c r="I406" i="1"/>
  <c r="J406" i="1"/>
</calcChain>
</file>

<file path=xl/sharedStrings.xml><?xml version="1.0" encoding="utf-8"?>
<sst xmlns="http://schemas.openxmlformats.org/spreadsheetml/2006/main" count="8012" uniqueCount="41">
  <si>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</si>
  <si>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</si>
  <si>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</si>
  <si>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</si>
  <si>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</si>
  <si>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</si>
  <si>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</si>
  <si>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</si>
  <si>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Cost</t>
  </si>
  <si>
    <t>Profit</t>
  </si>
  <si>
    <t>North</t>
  </si>
  <si>
    <t>West</t>
  </si>
  <si>
    <t>East</t>
  </si>
  <si>
    <t>South</t>
  </si>
  <si>
    <t>south</t>
  </si>
  <si>
    <t>NORTH</t>
  </si>
  <si>
    <t>north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</si>
  <si>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</si>
  <si>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</si>
  <si>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</si>
  <si>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</si>
  <si>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</si>
  <si>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</si>
  <si>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</si>
  <si>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</si>
  <si>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</si>
  <si>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</si>
  <si>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</si>
  <si>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</si>
  <si>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</si>
  <si>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</si>
  <si>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</si>
  <si>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</si>
  <si>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</si>
  <si>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</si>
  <si>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</si>
  <si>
    <t>Unknown</t>
  </si>
  <si>
    <t>Latitude</t>
  </si>
  <si>
    <t>Longitude</t>
  </si>
  <si>
    <t>west</t>
  </si>
  <si>
    <t>Unknown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</si>
</sst>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B9B4F-897D-4F14-B42B-F2ED40A1E209}" name="Table1" displayName="Table1" ref="A1:L2001" totalsRowShown="0" headerRowDxfId="15" dataDxfId="13" headerRowBorderDxfId="14" tableBorderDxfId="12">
  <tableColumns count="12">
    <tableColumn id="1" xr3:uid="{1F1405A1-0A3E-4CBC-BDB5-45929B482B5D}" name="Date" dataDxfId="11"/>
    <tableColumn id="2" xr3:uid="{AED87C4F-CEDD-411F-9431-347D6218CB27}" name="Region" dataDxfId="10"/>
    <tableColumn id="13" xr3:uid="{11665FE2-1AA2-4FB3-9B34-3F4E84C0DAA3}" name="Product" dataDxfId="0"/>
    <tableColumn id="4" xr3:uid="{C8BB0DFC-DD46-44F0-A3AB-4E49D3447209}" name="Salesperson" dataDxfId="9"/>
    <tableColumn id="5" xr3:uid="{C08CDE80-111F-488F-9DDA-CD7E4B1F6807}" name="Units_Sold" dataDxfId="8"/>
    <tableColumn id="6" xr3:uid="{FDF8D183-621B-4704-B08F-62D71CD2B7DC}" name="Unit_Price" dataDxfId="7"/>
    <tableColumn id="7" xr3:uid="{9F20D2CF-CC39-47BD-A44A-1C130540796F}" name="Category" dataDxfId="6"/>
    <tableColumn id="8" xr3:uid="{A23E4DF4-2C60-4FCD-9910-8FF853F01DCE}" name="Revenue" dataDxfId="5">
      <calculatedColumnFormula>E2*F2</calculatedColumnFormula>
    </tableColumn>
    <tableColumn id="9" xr3:uid="{D0BE4730-8049-426A-B8C9-30279D814E74}" name="Cost" dataDxfId="4"/>
    <tableColumn id="10" xr3:uid="{CC8591BD-8821-4E72-8548-F11A776928AB}" name="Profit" dataDxfId="3">
      <calculatedColumnFormula>H2-I2</calculatedColumnFormula>
    </tableColumn>
    <tableColumn id="11" xr3:uid="{7583224D-4B57-482A-BE2D-44818FECB078}" name="Latitude" dataDxfId="2">
      <calculatedColumnFormula>IF(B2="North",28.6,
IF(B2="South",13,
IF(B2="East",22.6,
IF(B2="West",19,
23.5))))</calculatedColumnFormula>
    </tableColumn>
    <tableColumn id="12" xr3:uid="{6BEA16A9-DA07-4B6B-8584-FFFD761DDE00}" name="Longitude" dataDxfId="1">
      <calculatedColumnFormula>IF(B2="North",77.2,
IF(B2="South",80.2,
IF(B2="East",88.4,
IF(B2="West",72.8,
78.9))))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O12" sqref="O12"/>
    </sheetView>
  </sheetViews>
  <sheetFormatPr defaultRowHeight="15" x14ac:dyDescent="0.25"/>
  <cols>
    <col min="1" max="1" width="10.7109375" style="2" bestFit="1" customWidth="1"/>
    <col min="2" max="2" width="15.28515625" customWidth="1"/>
    <col min="3" max="3" width="17.5703125" bestFit="1" customWidth="1"/>
    <col min="4" max="4" width="13.85546875" customWidth="1"/>
    <col min="5" max="5" width="12.7109375" style="10" customWidth="1"/>
    <col min="6" max="6" width="13.7109375" style="10" customWidth="1"/>
    <col min="7" max="7" width="16" style="1" customWidth="1"/>
    <col min="8" max="8" width="16" style="11" customWidth="1"/>
    <col min="9" max="9" width="16" style="8" customWidth="1"/>
    <col min="10" max="10" width="12.7109375" style="8" customWidth="1"/>
    <col min="12" max="12" width="18.140625" bestFit="1" customWidth="1"/>
    <col min="13" max="13" width="12.7109375" bestFit="1" customWidth="1"/>
    <col min="14" max="14" width="12.140625" bestFit="1" customWidth="1"/>
    <col min="15" max="15" width="10" customWidth="1"/>
    <col min="16" max="16" width="12.7109375" bestFit="1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4" t="s">
        <v>6</v>
      </c>
      <c r="H1" s="9" t="s">
        <v>7</v>
      </c>
      <c r="I1" s="6" t="s">
        <v>8</v>
      </c>
      <c r="J1" s="6" t="s">
        <v>9</v>
      </c>
      <c r="K1" s="4" t="s">
        <v>37</v>
      </c>
      <c r="L1" s="4" t="s">
        <v>38</v>
      </c>
    </row>
    <row r="2" spans="1:12" x14ac:dyDescent="0.25">
      <c r="A2" s="5">
        <v>45394</v>
      </c>
      <c r="B2" s="1" t="s">
        <v>10</v>
      </c>
      <c r="C2" s="1" t="s">
        <v>17</v>
      </c>
      <c r="D2" s="1" t="s">
        <v>25</v>
      </c>
      <c r="E2" s="10">
        <v>15</v>
      </c>
      <c r="F2" s="10">
        <v>1224</v>
      </c>
      <c r="G2" s="1" t="s">
        <v>33</v>
      </c>
      <c r="H2" s="10">
        <f>E2*F2</f>
        <v>18360</v>
      </c>
      <c r="I2" s="7">
        <v>16451.634257536429</v>
      </c>
      <c r="J2" s="7">
        <f>H2-I2</f>
        <v>1908.3657424635712</v>
      </c>
      <c r="K2" s="1">
        <f>IF(B2="North",28.6,
IF(B2="South",13,
IF(B2="East",22.6,
IF(B2="West",19,
23.5))))</f>
        <v>28.6</v>
      </c>
      <c r="L2" s="1">
        <f>IF(B2="North",77.2,
IF(B2="South",80.2,
IF(B2="East",88.4,
IF(B2="West",72.8,
78.9))))</f>
        <v>77.2</v>
      </c>
    </row>
    <row r="3" spans="1:12" x14ac:dyDescent="0.25">
      <c r="A3" s="5">
        <v>45640</v>
      </c>
      <c r="B3" s="1" t="s">
        <v>10</v>
      </c>
      <c r="C3" s="1" t="s">
        <v>18</v>
      </c>
      <c r="D3" s="1" t="s">
        <v>26</v>
      </c>
      <c r="E3" s="10">
        <v>5</v>
      </c>
      <c r="F3" s="10">
        <v>1321</v>
      </c>
      <c r="G3" s="1" t="s">
        <v>34</v>
      </c>
      <c r="H3" s="10">
        <f t="shared" ref="H3:H66" si="0">E3*F3</f>
        <v>6605</v>
      </c>
      <c r="I3" s="7">
        <v>4457.3517267107454</v>
      </c>
      <c r="J3" s="7">
        <f t="shared" ref="J3:J66" si="1">H3-I3</f>
        <v>2147.6482732892546</v>
      </c>
      <c r="K3" s="1">
        <f>IF(B3="North",28.6,
IF(B3="South",13,
IF(B3="East",22.6,
IF(B3="West",19,
23.5))))</f>
        <v>28.6</v>
      </c>
      <c r="L3" s="1">
        <f>IF(B3="North",77.2,
IF(B3="South",80.2,
IF(B3="East",88.4,
IF(B3="West",72.8,
78.9))))</f>
        <v>77.2</v>
      </c>
    </row>
    <row r="4" spans="1:12" x14ac:dyDescent="0.25">
      <c r="A4" s="5">
        <v>45562</v>
      </c>
      <c r="B4" s="1" t="s">
        <v>10</v>
      </c>
      <c r="C4" s="1" t="s">
        <v>19</v>
      </c>
      <c r="D4" s="1" t="s">
        <v>27</v>
      </c>
      <c r="E4" s="10">
        <v>11</v>
      </c>
      <c r="F4" s="10">
        <v>912</v>
      </c>
      <c r="G4" s="1" t="s">
        <v>35</v>
      </c>
      <c r="H4" s="10">
        <f t="shared" si="0"/>
        <v>10032</v>
      </c>
      <c r="I4" s="7">
        <v>6563.6441262533353</v>
      </c>
      <c r="J4" s="7">
        <f t="shared" si="1"/>
        <v>3468.3558737466647</v>
      </c>
      <c r="K4" s="1">
        <f>IF(B4="North",28.6,
IF(B4="South",13,
IF(B4="East",22.6,
IF(B4="West",19,
23.5))))</f>
        <v>28.6</v>
      </c>
      <c r="L4" s="1">
        <f>IF(B4="North",77.2,
IF(B4="South",80.2,
IF(B4="East",88.4,
IF(B4="West",72.8,
78.9))))</f>
        <v>77.2</v>
      </c>
    </row>
    <row r="5" spans="1:12" x14ac:dyDescent="0.25">
      <c r="A5" s="5">
        <v>45398</v>
      </c>
      <c r="B5" s="1" t="s">
        <v>11</v>
      </c>
      <c r="C5" s="1" t="s">
        <v>18</v>
      </c>
      <c r="D5" s="1" t="s">
        <v>28</v>
      </c>
      <c r="E5" s="10">
        <v>18</v>
      </c>
      <c r="F5" s="10">
        <v>325</v>
      </c>
      <c r="G5" s="1" t="s">
        <v>34</v>
      </c>
      <c r="H5" s="10">
        <f t="shared" si="0"/>
        <v>5850</v>
      </c>
      <c r="I5" s="7">
        <v>4320.8070916033794</v>
      </c>
      <c r="J5" s="7">
        <f t="shared" si="1"/>
        <v>1529.1929083966206</v>
      </c>
      <c r="K5" s="1">
        <f>IF(B5="North",28.6,
IF(B5="South",13,
IF(B5="East",22.6,
IF(B5="West",19,
23.5))))</f>
        <v>19</v>
      </c>
      <c r="L5" s="1">
        <f>IF(B5="North",77.2,
IF(B5="South",80.2,
IF(B5="East",88.4,
IF(B5="West",72.8,
78.9))))</f>
        <v>72.8</v>
      </c>
    </row>
    <row r="6" spans="1:12" x14ac:dyDescent="0.25">
      <c r="A6" s="5">
        <v>45363</v>
      </c>
      <c r="B6" s="1" t="s">
        <v>11</v>
      </c>
      <c r="C6" s="1" t="s">
        <v>20</v>
      </c>
      <c r="D6" s="1" t="s">
        <v>26</v>
      </c>
      <c r="E6" s="10">
        <v>13</v>
      </c>
      <c r="F6" s="10">
        <v>1042</v>
      </c>
      <c r="G6" s="1" t="s">
        <v>33</v>
      </c>
      <c r="H6" s="10">
        <f t="shared" si="0"/>
        <v>13546</v>
      </c>
      <c r="I6" s="7">
        <v>8270.122665544859</v>
      </c>
      <c r="J6" s="7">
        <f t="shared" si="1"/>
        <v>5275.877334455141</v>
      </c>
      <c r="K6" s="1">
        <f>IF(B6="North",28.6,
IF(B6="South",13,
IF(B6="East",22.6,
IF(B6="West",19,
23.5))))</f>
        <v>19</v>
      </c>
      <c r="L6" s="1">
        <f>IF(B6="North",77.2,
IF(B6="South",80.2,
IF(B6="East",88.4,
IF(B6="West",72.8,
78.9))))</f>
        <v>72.8</v>
      </c>
    </row>
    <row r="7" spans="1:12" x14ac:dyDescent="0.25">
      <c r="A7" s="5">
        <v>45480</v>
      </c>
      <c r="B7" s="1" t="s">
        <v>11</v>
      </c>
      <c r="C7" s="1" t="s">
        <v>18</v>
      </c>
      <c r="D7" s="1" t="s">
        <v>28</v>
      </c>
      <c r="E7" s="10">
        <v>11</v>
      </c>
      <c r="F7" s="10">
        <v>562</v>
      </c>
      <c r="G7" s="1" t="s">
        <v>34</v>
      </c>
      <c r="H7" s="10">
        <f t="shared" si="0"/>
        <v>6182</v>
      </c>
      <c r="I7" s="7">
        <v>5177.5199831477194</v>
      </c>
      <c r="J7" s="7">
        <f t="shared" si="1"/>
        <v>1004.4800168522806</v>
      </c>
      <c r="K7" s="1">
        <f>IF(B7="North",28.6,
IF(B7="South",13,
IF(B7="East",22.6,
IF(B7="West",19,
23.5))))</f>
        <v>19</v>
      </c>
      <c r="L7" s="1">
        <f>IF(B7="North",77.2,
IF(B7="South",80.2,
IF(B7="East",88.4,
IF(B7="West",72.8,
78.9))))</f>
        <v>72.8</v>
      </c>
    </row>
    <row r="8" spans="1:12" x14ac:dyDescent="0.25">
      <c r="A8" s="5">
        <v>45312</v>
      </c>
      <c r="B8" s="1" t="s">
        <v>11</v>
      </c>
      <c r="C8" s="1" t="s">
        <v>20</v>
      </c>
      <c r="D8" s="1" t="s">
        <v>28</v>
      </c>
      <c r="E8" s="10">
        <v>14</v>
      </c>
      <c r="F8" s="10">
        <v>336</v>
      </c>
      <c r="G8" s="1" t="s">
        <v>33</v>
      </c>
      <c r="H8" s="10">
        <f t="shared" si="0"/>
        <v>4704</v>
      </c>
      <c r="I8" s="7">
        <v>4069.5621103550811</v>
      </c>
      <c r="J8" s="7">
        <f t="shared" si="1"/>
        <v>634.43788964491887</v>
      </c>
      <c r="K8" s="1">
        <f>IF(B8="North",28.6,
IF(B8="South",13,
IF(B8="East",22.6,
IF(B8="West",19,
23.5))))</f>
        <v>19</v>
      </c>
      <c r="L8" s="1">
        <f>IF(B8="North",77.2,
IF(B8="South",80.2,
IF(B8="East",88.4,
IF(B8="West",72.8,
78.9))))</f>
        <v>72.8</v>
      </c>
    </row>
    <row r="9" spans="1:12" x14ac:dyDescent="0.25">
      <c r="A9" s="5">
        <v>45394</v>
      </c>
      <c r="B9" s="1" t="s">
        <v>12</v>
      </c>
      <c r="C9" s="1" t="s">
        <v>21</v>
      </c>
      <c r="D9" s="1" t="s">
        <v>29</v>
      </c>
      <c r="E9" s="10">
        <v>18</v>
      </c>
      <c r="F9" s="10">
        <v>1149</v>
      </c>
      <c r="G9" s="1" t="s">
        <v>35</v>
      </c>
      <c r="H9" s="10">
        <f t="shared" si="0"/>
        <v>20682</v>
      </c>
      <c r="I9" s="7">
        <v>16665.801914852022</v>
      </c>
      <c r="J9" s="7">
        <f t="shared" si="1"/>
        <v>4016.1980851479784</v>
      </c>
      <c r="K9" s="1">
        <f>IF(B9="North",28.6,
IF(B9="South",13,
IF(B9="East",22.6,
IF(B9="West",19,
23.5))))</f>
        <v>22.6</v>
      </c>
      <c r="L9" s="1">
        <f>IF(B9="North",77.2,
IF(B9="South",80.2,
IF(B9="East",88.4,
IF(B9="West",72.8,
78.9))))</f>
        <v>88.4</v>
      </c>
    </row>
    <row r="10" spans="1:12" x14ac:dyDescent="0.25">
      <c r="A10" s="5">
        <v>45413</v>
      </c>
      <c r="B10" s="1" t="s">
        <v>12</v>
      </c>
      <c r="C10" s="1" t="s">
        <v>22</v>
      </c>
      <c r="D10" s="1" t="s">
        <v>29</v>
      </c>
      <c r="E10" s="10">
        <v>19</v>
      </c>
      <c r="F10" s="10">
        <v>1244</v>
      </c>
      <c r="G10" s="1" t="s">
        <v>35</v>
      </c>
      <c r="H10" s="10">
        <f t="shared" si="0"/>
        <v>23636</v>
      </c>
      <c r="I10" s="7">
        <v>16081.89912017564</v>
      </c>
      <c r="J10" s="7">
        <f t="shared" si="1"/>
        <v>7554.1008798243602</v>
      </c>
      <c r="K10" s="1">
        <f>IF(B10="North",28.6,
IF(B10="South",13,
IF(B10="East",22.6,
IF(B10="West",19,
23.5))))</f>
        <v>22.6</v>
      </c>
      <c r="L10" s="1">
        <f>IF(B10="North",77.2,
IF(B10="South",80.2,
IF(B10="East",88.4,
IF(B10="West",72.8,
78.9))))</f>
        <v>88.4</v>
      </c>
    </row>
    <row r="11" spans="1:12" x14ac:dyDescent="0.25">
      <c r="A11" s="5">
        <v>45506</v>
      </c>
      <c r="B11" s="1" t="s">
        <v>13</v>
      </c>
      <c r="C11" s="1" t="s">
        <v>23</v>
      </c>
      <c r="D11" s="1" t="s">
        <v>25</v>
      </c>
      <c r="E11" s="10">
        <v>15</v>
      </c>
      <c r="F11" s="10">
        <v>605</v>
      </c>
      <c r="G11" s="1" t="s">
        <v>34</v>
      </c>
      <c r="H11" s="10">
        <f t="shared" si="0"/>
        <v>9075</v>
      </c>
      <c r="I11" s="7">
        <v>5780.2907779344814</v>
      </c>
      <c r="J11" s="7">
        <f t="shared" si="1"/>
        <v>3294.7092220655186</v>
      </c>
      <c r="K11" s="1">
        <f>IF(B11="North",28.6,
IF(B11="South",13,
IF(B11="East",22.6,
IF(B11="West",19,
23.5))))</f>
        <v>13</v>
      </c>
      <c r="L11" s="1">
        <f>IF(B11="North",77.2,
IF(B11="South",80.2,
IF(B11="East",88.4,
IF(B11="West",72.8,
78.9))))</f>
        <v>80.2</v>
      </c>
    </row>
    <row r="12" spans="1:12" x14ac:dyDescent="0.25">
      <c r="A12" s="5">
        <v>45622</v>
      </c>
      <c r="B12" s="1" t="s">
        <v>11</v>
      </c>
      <c r="C12" s="1" t="s">
        <v>20</v>
      </c>
      <c r="D12" s="1" t="s">
        <v>36</v>
      </c>
      <c r="E12" s="10">
        <v>9</v>
      </c>
      <c r="F12" s="10">
        <v>1305</v>
      </c>
      <c r="G12" s="1" t="s">
        <v>33</v>
      </c>
      <c r="H12" s="10">
        <f t="shared" si="0"/>
        <v>11745</v>
      </c>
      <c r="I12" s="7">
        <v>8393.4850461357255</v>
      </c>
      <c r="J12" s="7">
        <f t="shared" si="1"/>
        <v>3351.5149538642745</v>
      </c>
      <c r="K12" s="1">
        <f>IF(B12="North",28.6,
IF(B12="South",13,
IF(B12="East",22.6,
IF(B12="West",19,
23.5))))</f>
        <v>19</v>
      </c>
      <c r="L12" s="1">
        <f>IF(B12="North",77.2,
IF(B12="South",80.2,
IF(B12="East",88.4,
IF(B12="West",72.8,
78.9))))</f>
        <v>72.8</v>
      </c>
    </row>
    <row r="13" spans="1:12" x14ac:dyDescent="0.25">
      <c r="A13" s="5">
        <v>45379</v>
      </c>
      <c r="B13" s="1" t="s">
        <v>12</v>
      </c>
      <c r="C13" s="1" t="s">
        <v>22</v>
      </c>
      <c r="D13" s="1" t="s">
        <v>26</v>
      </c>
      <c r="E13" s="10">
        <v>8</v>
      </c>
      <c r="F13" s="10">
        <v>1834</v>
      </c>
      <c r="G13" s="1" t="s">
        <v>35</v>
      </c>
      <c r="H13" s="10">
        <f t="shared" si="0"/>
        <v>14672</v>
      </c>
      <c r="I13" s="7">
        <v>12471.210067215919</v>
      </c>
      <c r="J13" s="7">
        <f t="shared" si="1"/>
        <v>2200.7899327840805</v>
      </c>
      <c r="K13" s="1">
        <f>IF(B13="North",28.6,
IF(B13="South",13,
IF(B13="East",22.6,
IF(B13="West",19,
23.5))))</f>
        <v>22.6</v>
      </c>
      <c r="L13" s="1">
        <f>IF(B13="North",77.2,
IF(B13="South",80.2,
IF(B13="East",88.4,
IF(B13="West",72.8,
78.9))))</f>
        <v>88.4</v>
      </c>
    </row>
    <row r="14" spans="1:12" x14ac:dyDescent="0.25">
      <c r="A14" s="5">
        <v>45391</v>
      </c>
      <c r="B14" s="1" t="s">
        <v>10</v>
      </c>
      <c r="C14" s="1" t="s">
        <v>17</v>
      </c>
      <c r="D14" s="1" t="s">
        <v>30</v>
      </c>
      <c r="E14" s="10">
        <v>1</v>
      </c>
      <c r="F14" s="10">
        <v>913</v>
      </c>
      <c r="G14" s="1" t="s">
        <v>33</v>
      </c>
      <c r="H14" s="10">
        <f t="shared" si="0"/>
        <v>913</v>
      </c>
      <c r="I14" s="7">
        <v>643.07003545701684</v>
      </c>
      <c r="J14" s="7">
        <f t="shared" si="1"/>
        <v>269.92996454298316</v>
      </c>
      <c r="K14" s="1">
        <f>IF(B14="North",28.6,
IF(B14="South",13,
IF(B14="East",22.6,
IF(B14="West",19,
23.5))))</f>
        <v>28.6</v>
      </c>
      <c r="L14" s="1">
        <f>IF(B14="North",77.2,
IF(B14="South",80.2,
IF(B14="East",88.4,
IF(B14="West",72.8,
78.9))))</f>
        <v>77.2</v>
      </c>
    </row>
    <row r="15" spans="1:12" x14ac:dyDescent="0.25">
      <c r="A15" s="5">
        <v>45651</v>
      </c>
      <c r="B15" s="1" t="s">
        <v>11</v>
      </c>
      <c r="C15" s="1" t="s">
        <v>19</v>
      </c>
      <c r="D15" s="1" t="s">
        <v>28</v>
      </c>
      <c r="E15" s="10">
        <v>4</v>
      </c>
      <c r="F15" s="10">
        <v>866</v>
      </c>
      <c r="G15" s="1" t="s">
        <v>35</v>
      </c>
      <c r="H15" s="10">
        <f t="shared" si="0"/>
        <v>3464</v>
      </c>
      <c r="I15" s="7">
        <v>2113.9973529128042</v>
      </c>
      <c r="J15" s="7">
        <f t="shared" si="1"/>
        <v>1350.0026470871958</v>
      </c>
      <c r="K15" s="1">
        <f>IF(B15="North",28.6,
IF(B15="South",13,
IF(B15="East",22.6,
IF(B15="West",19,
23.5))))</f>
        <v>19</v>
      </c>
      <c r="L15" s="1">
        <f>IF(B15="North",77.2,
IF(B15="South",80.2,
IF(B15="East",88.4,
IF(B15="West",72.8,
78.9))))</f>
        <v>72.8</v>
      </c>
    </row>
    <row r="16" spans="1:12" x14ac:dyDescent="0.25">
      <c r="A16" s="5">
        <v>45443</v>
      </c>
      <c r="B16" s="1" t="s">
        <v>13</v>
      </c>
      <c r="C16" s="1" t="s">
        <v>17</v>
      </c>
      <c r="D16" s="1" t="s">
        <v>31</v>
      </c>
      <c r="E16" s="10">
        <v>14</v>
      </c>
      <c r="F16" s="10">
        <v>1073.5</v>
      </c>
      <c r="G16" s="1" t="s">
        <v>33</v>
      </c>
      <c r="H16" s="10">
        <f t="shared" si="0"/>
        <v>15029</v>
      </c>
      <c r="I16" s="7">
        <f>H16*0.7</f>
        <v>10520.3</v>
      </c>
      <c r="J16" s="7">
        <f t="shared" si="1"/>
        <v>4508.7000000000007</v>
      </c>
      <c r="K16" s="1">
        <f>IF(B16="North",28.6,
IF(B16="South",13,
IF(B16="East",22.6,
IF(B16="West",19,
23.5))))</f>
        <v>13</v>
      </c>
      <c r="L16" s="1">
        <f>IF(B16="North",77.2,
IF(B16="South",80.2,
IF(B16="East",88.4,
IF(B16="West",72.8,
78.9))))</f>
        <v>80.2</v>
      </c>
    </row>
    <row r="17" spans="1:12" x14ac:dyDescent="0.25">
      <c r="A17" s="5">
        <v>45422</v>
      </c>
      <c r="B17" s="1" t="s">
        <v>13</v>
      </c>
      <c r="C17" s="1" t="s">
        <v>21</v>
      </c>
      <c r="D17" s="1" t="s">
        <v>28</v>
      </c>
      <c r="E17" s="10">
        <v>2</v>
      </c>
      <c r="F17" s="10">
        <v>1666</v>
      </c>
      <c r="G17" s="1" t="s">
        <v>35</v>
      </c>
      <c r="H17" s="10">
        <f t="shared" si="0"/>
        <v>3332</v>
      </c>
      <c r="I17" s="7">
        <v>2988.749631831693</v>
      </c>
      <c r="J17" s="7">
        <f t="shared" si="1"/>
        <v>343.25036816830698</v>
      </c>
      <c r="K17" s="1">
        <f>IF(B17="North",28.6,
IF(B17="South",13,
IF(B17="East",22.6,
IF(B17="West",19,
23.5))))</f>
        <v>13</v>
      </c>
      <c r="L17" s="1">
        <f>IF(B17="North",77.2,
IF(B17="South",80.2,
IF(B17="East",88.4,
IF(B17="West",72.8,
78.9))))</f>
        <v>80.2</v>
      </c>
    </row>
    <row r="18" spans="1:12" x14ac:dyDescent="0.25">
      <c r="A18" s="5">
        <v>45441</v>
      </c>
      <c r="B18" s="1" t="s">
        <v>13</v>
      </c>
      <c r="C18" s="1" t="s">
        <v>18</v>
      </c>
      <c r="D18" s="1" t="s">
        <v>28</v>
      </c>
      <c r="E18" s="10">
        <v>16</v>
      </c>
      <c r="F18" s="10">
        <v>1438</v>
      </c>
      <c r="G18" s="1" t="s">
        <v>34</v>
      </c>
      <c r="H18" s="10">
        <f t="shared" si="0"/>
        <v>23008</v>
      </c>
      <c r="I18" s="7">
        <v>18475.438419108192</v>
      </c>
      <c r="J18" s="7">
        <f t="shared" si="1"/>
        <v>4532.5615808918083</v>
      </c>
      <c r="K18" s="1">
        <f>IF(B18="North",28.6,
IF(B18="South",13,
IF(B18="East",22.6,
IF(B18="West",19,
23.5))))</f>
        <v>13</v>
      </c>
      <c r="L18" s="1">
        <f>IF(B18="North",77.2,
IF(B18="South",80.2,
IF(B18="East",88.4,
IF(B18="West",72.8,
78.9))))</f>
        <v>80.2</v>
      </c>
    </row>
    <row r="19" spans="1:12" x14ac:dyDescent="0.25">
      <c r="A19" s="5">
        <v>45600</v>
      </c>
      <c r="B19" s="1" t="s">
        <v>10</v>
      </c>
      <c r="C19" s="1" t="s">
        <v>18</v>
      </c>
      <c r="D19" s="1" t="s">
        <v>26</v>
      </c>
      <c r="E19" s="10">
        <v>3</v>
      </c>
      <c r="F19" s="10">
        <v>1090</v>
      </c>
      <c r="G19" s="1" t="s">
        <v>34</v>
      </c>
      <c r="H19" s="10">
        <f t="shared" si="0"/>
        <v>3270</v>
      </c>
      <c r="I19" s="7">
        <v>2845.7385882075619</v>
      </c>
      <c r="J19" s="7">
        <f t="shared" si="1"/>
        <v>424.26141179243814</v>
      </c>
      <c r="K19" s="1">
        <f>IF(B19="North",28.6,
IF(B19="South",13,
IF(B19="East",22.6,
IF(B19="West",19,
23.5))))</f>
        <v>28.6</v>
      </c>
      <c r="L19" s="1">
        <f>IF(B19="North",77.2,
IF(B19="South",80.2,
IF(B19="East",88.4,
IF(B19="West",72.8,
78.9))))</f>
        <v>77.2</v>
      </c>
    </row>
    <row r="20" spans="1:12" x14ac:dyDescent="0.25">
      <c r="A20" s="5">
        <v>45549</v>
      </c>
      <c r="B20" s="1" t="s">
        <v>12</v>
      </c>
      <c r="C20" s="1" t="s">
        <v>24</v>
      </c>
      <c r="D20" s="1" t="s">
        <v>28</v>
      </c>
      <c r="E20" s="10">
        <v>8</v>
      </c>
      <c r="F20" s="10">
        <v>1920</v>
      </c>
      <c r="G20" s="1" t="s">
        <v>35</v>
      </c>
      <c r="H20" s="10">
        <f t="shared" si="0"/>
        <v>15360</v>
      </c>
      <c r="I20" s="7">
        <v>12786.579152645099</v>
      </c>
      <c r="J20" s="7">
        <f t="shared" si="1"/>
        <v>2573.4208473549006</v>
      </c>
      <c r="K20" s="1">
        <f>IF(B20="North",28.6,
IF(B20="South",13,
IF(B20="East",22.6,
IF(B20="West",19,
23.5))))</f>
        <v>22.6</v>
      </c>
      <c r="L20" s="1">
        <f>IF(B20="North",77.2,
IF(B20="South",80.2,
IF(B20="East",88.4,
IF(B20="West",72.8,
78.9))))</f>
        <v>88.4</v>
      </c>
    </row>
    <row r="21" spans="1:12" x14ac:dyDescent="0.25">
      <c r="A21" s="5">
        <v>45635</v>
      </c>
      <c r="B21" s="1" t="s">
        <v>10</v>
      </c>
      <c r="C21" s="1" t="s">
        <v>24</v>
      </c>
      <c r="D21" s="1" t="s">
        <v>32</v>
      </c>
      <c r="E21" s="10">
        <v>6</v>
      </c>
      <c r="F21" s="10">
        <v>717</v>
      </c>
      <c r="G21" s="1" t="s">
        <v>35</v>
      </c>
      <c r="H21" s="10">
        <f t="shared" si="0"/>
        <v>4302</v>
      </c>
      <c r="I21" s="7">
        <v>3277.743938080549</v>
      </c>
      <c r="J21" s="7">
        <f t="shared" si="1"/>
        <v>1024.256061919451</v>
      </c>
      <c r="K21" s="1">
        <f>IF(B21="North",28.6,
IF(B21="South",13,
IF(B21="East",22.6,
IF(B21="West",19,
23.5))))</f>
        <v>28.6</v>
      </c>
      <c r="L21" s="1">
        <f>IF(B21="North",77.2,
IF(B21="South",80.2,
IF(B21="East",88.4,
IF(B21="West",72.8,
78.9))))</f>
        <v>77.2</v>
      </c>
    </row>
    <row r="22" spans="1:12" x14ac:dyDescent="0.25">
      <c r="A22" s="5">
        <v>45585</v>
      </c>
      <c r="B22" s="1" t="s">
        <v>11</v>
      </c>
      <c r="C22" s="1" t="s">
        <v>24</v>
      </c>
      <c r="D22" s="1" t="s">
        <v>28</v>
      </c>
      <c r="E22" s="10">
        <v>16</v>
      </c>
      <c r="F22" s="10">
        <v>1859</v>
      </c>
      <c r="G22" s="1" t="s">
        <v>35</v>
      </c>
      <c r="H22" s="10">
        <f t="shared" si="0"/>
        <v>29744</v>
      </c>
      <c r="I22" s="7">
        <v>19173.18054615489</v>
      </c>
      <c r="J22" s="7">
        <f t="shared" si="1"/>
        <v>10570.81945384511</v>
      </c>
      <c r="K22" s="1">
        <f>IF(B22="North",28.6,
IF(B22="South",13,
IF(B22="East",22.6,
IF(B22="West",19,
23.5))))</f>
        <v>19</v>
      </c>
      <c r="L22" s="1">
        <f>IF(B22="North",77.2,
IF(B22="South",80.2,
IF(B22="East",88.4,
IF(B22="West",72.8,
78.9))))</f>
        <v>72.8</v>
      </c>
    </row>
    <row r="23" spans="1:12" x14ac:dyDescent="0.25">
      <c r="A23" s="5">
        <v>45483</v>
      </c>
      <c r="B23" s="1" t="s">
        <v>13</v>
      </c>
      <c r="C23" s="1" t="s">
        <v>17</v>
      </c>
      <c r="D23" s="1" t="s">
        <v>32</v>
      </c>
      <c r="E23" s="10">
        <v>16</v>
      </c>
      <c r="F23" s="10">
        <v>372</v>
      </c>
      <c r="G23" s="1" t="s">
        <v>33</v>
      </c>
      <c r="H23" s="10">
        <f t="shared" si="0"/>
        <v>5952</v>
      </c>
      <c r="I23" s="7">
        <v>4193.73958055197</v>
      </c>
      <c r="J23" s="7">
        <f t="shared" si="1"/>
        <v>1758.26041944803</v>
      </c>
      <c r="K23" s="1">
        <f>IF(B23="North",28.6,
IF(B23="South",13,
IF(B23="East",22.6,
IF(B23="West",19,
23.5))))</f>
        <v>13</v>
      </c>
      <c r="L23" s="1">
        <f>IF(B23="North",77.2,
IF(B23="South",80.2,
IF(B23="East",88.4,
IF(B23="West",72.8,
78.9))))</f>
        <v>80.2</v>
      </c>
    </row>
    <row r="24" spans="1:12" x14ac:dyDescent="0.25">
      <c r="A24" s="5">
        <v>45568</v>
      </c>
      <c r="B24" s="1" t="s">
        <v>10</v>
      </c>
      <c r="C24" s="1" t="s">
        <v>20</v>
      </c>
      <c r="D24" s="1" t="s">
        <v>29</v>
      </c>
      <c r="E24" s="10">
        <v>7</v>
      </c>
      <c r="F24" s="10">
        <v>331</v>
      </c>
      <c r="G24" s="1" t="s">
        <v>33</v>
      </c>
      <c r="H24" s="10">
        <f t="shared" si="0"/>
        <v>2317</v>
      </c>
      <c r="I24" s="7">
        <v>1795.9578305881121</v>
      </c>
      <c r="J24" s="7">
        <f t="shared" si="1"/>
        <v>521.04216941188793</v>
      </c>
      <c r="K24" s="1">
        <f>IF(B24="North",28.6,
IF(B24="South",13,
IF(B24="East",22.6,
IF(B24="West",19,
23.5))))</f>
        <v>28.6</v>
      </c>
      <c r="L24" s="1">
        <f>IF(B24="North",77.2,
IF(B24="South",80.2,
IF(B24="East",88.4,
IF(B24="West",72.8,
78.9))))</f>
        <v>77.2</v>
      </c>
    </row>
    <row r="25" spans="1:12" x14ac:dyDescent="0.25">
      <c r="A25" s="5">
        <v>45452</v>
      </c>
      <c r="B25" s="1" t="s">
        <v>10</v>
      </c>
      <c r="C25" s="1" t="s">
        <v>19</v>
      </c>
      <c r="D25" s="1" t="s">
        <v>31</v>
      </c>
      <c r="E25" s="10">
        <v>13</v>
      </c>
      <c r="F25" s="10">
        <v>1543</v>
      </c>
      <c r="G25" s="1" t="s">
        <v>35</v>
      </c>
      <c r="H25" s="10">
        <f t="shared" si="0"/>
        <v>20059</v>
      </c>
      <c r="I25" s="7">
        <v>17274.604284964509</v>
      </c>
      <c r="J25" s="7">
        <f t="shared" si="1"/>
        <v>2784.3957150354909</v>
      </c>
      <c r="K25" s="1">
        <f>IF(B25="North",28.6,
IF(B25="South",13,
IF(B25="East",22.6,
IF(B25="West",19,
23.5))))</f>
        <v>28.6</v>
      </c>
      <c r="L25" s="1">
        <f>IF(B25="North",77.2,
IF(B25="South",80.2,
IF(B25="East",88.4,
IF(B25="West",72.8,
78.9))))</f>
        <v>77.2</v>
      </c>
    </row>
    <row r="26" spans="1:12" x14ac:dyDescent="0.25">
      <c r="A26" s="5">
        <v>45605</v>
      </c>
      <c r="B26" s="1" t="s">
        <v>12</v>
      </c>
      <c r="C26" s="1" t="s">
        <v>24</v>
      </c>
      <c r="D26" s="1" t="s">
        <v>25</v>
      </c>
      <c r="E26" s="10">
        <v>13</v>
      </c>
      <c r="F26" s="10">
        <v>867</v>
      </c>
      <c r="G26" s="1" t="s">
        <v>35</v>
      </c>
      <c r="H26" s="10">
        <f t="shared" si="0"/>
        <v>11271</v>
      </c>
      <c r="I26" s="7">
        <v>7671.0709325829848</v>
      </c>
      <c r="J26" s="7">
        <f t="shared" si="1"/>
        <v>3599.9290674170152</v>
      </c>
      <c r="K26" s="1">
        <f>IF(B26="North",28.6,
IF(B26="South",13,
IF(B26="East",22.6,
IF(B26="West",19,
23.5))))</f>
        <v>22.6</v>
      </c>
      <c r="L26" s="1">
        <f>IF(B26="North",77.2,
IF(B26="South",80.2,
IF(B26="East",88.4,
IF(B26="West",72.8,
78.9))))</f>
        <v>88.4</v>
      </c>
    </row>
    <row r="27" spans="1:12" x14ac:dyDescent="0.25">
      <c r="A27" s="5">
        <v>45313</v>
      </c>
      <c r="B27" s="1" t="s">
        <v>12</v>
      </c>
      <c r="C27" s="1" t="s">
        <v>21</v>
      </c>
      <c r="D27" s="1" t="s">
        <v>26</v>
      </c>
      <c r="E27" s="10">
        <v>5</v>
      </c>
      <c r="F27" s="10">
        <v>1565</v>
      </c>
      <c r="G27" s="1" t="s">
        <v>35</v>
      </c>
      <c r="H27" s="10">
        <f t="shared" si="0"/>
        <v>7825</v>
      </c>
      <c r="I27" s="7">
        <v>4979.580075776189</v>
      </c>
      <c r="J27" s="7">
        <f t="shared" si="1"/>
        <v>2845.419924223811</v>
      </c>
      <c r="K27" s="1">
        <f>IF(B27="North",28.6,
IF(B27="South",13,
IF(B27="East",22.6,
IF(B27="West",19,
23.5))))</f>
        <v>22.6</v>
      </c>
      <c r="L27" s="1">
        <f>IF(B27="North",77.2,
IF(B27="South",80.2,
IF(B27="East",88.4,
IF(B27="West",72.8,
78.9))))</f>
        <v>88.4</v>
      </c>
    </row>
    <row r="28" spans="1:12" x14ac:dyDescent="0.25">
      <c r="A28" s="5">
        <v>45544</v>
      </c>
      <c r="B28" s="1" t="s">
        <v>13</v>
      </c>
      <c r="C28" s="1" t="s">
        <v>21</v>
      </c>
      <c r="D28" s="1" t="s">
        <v>28</v>
      </c>
      <c r="E28" s="10">
        <v>18</v>
      </c>
      <c r="F28" s="10">
        <v>595</v>
      </c>
      <c r="G28" s="1" t="s">
        <v>35</v>
      </c>
      <c r="H28" s="10">
        <f t="shared" si="0"/>
        <v>10710</v>
      </c>
      <c r="I28" s="7">
        <v>8221.5282363036276</v>
      </c>
      <c r="J28" s="7">
        <f t="shared" si="1"/>
        <v>2488.4717636963724</v>
      </c>
      <c r="K28" s="1">
        <f>IF(B28="North",28.6,
IF(B28="South",13,
IF(B28="East",22.6,
IF(B28="West",19,
23.5))))</f>
        <v>13</v>
      </c>
      <c r="L28" s="1">
        <f>IF(B28="North",77.2,
IF(B28="South",80.2,
IF(B28="East",88.4,
IF(B28="West",72.8,
78.9))))</f>
        <v>80.2</v>
      </c>
    </row>
    <row r="29" spans="1:12" x14ac:dyDescent="0.25">
      <c r="A29" s="5">
        <v>45527</v>
      </c>
      <c r="B29" s="1" t="s">
        <v>10</v>
      </c>
      <c r="C29" s="1" t="s">
        <v>40</v>
      </c>
      <c r="D29" s="1" t="s">
        <v>32</v>
      </c>
      <c r="E29" s="10">
        <v>15</v>
      </c>
      <c r="F29" s="10">
        <v>1147</v>
      </c>
      <c r="G29" s="1" t="s">
        <v>35</v>
      </c>
      <c r="H29" s="10">
        <f t="shared" si="0"/>
        <v>17205</v>
      </c>
      <c r="I29" s="7">
        <v>11234.011060026951</v>
      </c>
      <c r="J29" s="7">
        <f t="shared" si="1"/>
        <v>5970.9889399730491</v>
      </c>
      <c r="K29" s="1">
        <f>IF(B29="North",28.6,
IF(B29="South",13,
IF(B29="East",22.6,
IF(B29="West",19,
23.5))))</f>
        <v>28.6</v>
      </c>
      <c r="L29" s="1">
        <f>IF(B29="North",77.2,
IF(B29="South",80.2,
IF(B29="East",88.4,
IF(B29="West",72.8,
78.9))))</f>
        <v>77.2</v>
      </c>
    </row>
    <row r="30" spans="1:12" x14ac:dyDescent="0.25">
      <c r="A30" s="5">
        <v>45636</v>
      </c>
      <c r="B30" s="1" t="s">
        <v>10</v>
      </c>
      <c r="C30" s="1" t="s">
        <v>18</v>
      </c>
      <c r="D30" s="1" t="s">
        <v>32</v>
      </c>
      <c r="E30" s="10">
        <v>18</v>
      </c>
      <c r="F30" s="10">
        <v>1232</v>
      </c>
      <c r="G30" s="1" t="s">
        <v>34</v>
      </c>
      <c r="H30" s="10">
        <f t="shared" si="0"/>
        <v>22176</v>
      </c>
      <c r="I30" s="7">
        <v>17366.214778944781</v>
      </c>
      <c r="J30" s="7">
        <f t="shared" si="1"/>
        <v>4809.7852210552192</v>
      </c>
      <c r="K30" s="1">
        <f>IF(B30="North",28.6,
IF(B30="South",13,
IF(B30="East",22.6,
IF(B30="West",19,
23.5))))</f>
        <v>28.6</v>
      </c>
      <c r="L30" s="1">
        <f>IF(B30="North",77.2,
IF(B30="South",80.2,
IF(B30="East",88.4,
IF(B30="West",72.8,
78.9))))</f>
        <v>77.2</v>
      </c>
    </row>
    <row r="31" spans="1:12" x14ac:dyDescent="0.25">
      <c r="A31" s="5">
        <v>45340</v>
      </c>
      <c r="B31" s="1" t="s">
        <v>12</v>
      </c>
      <c r="C31" s="1" t="s">
        <v>24</v>
      </c>
      <c r="D31" s="1" t="s">
        <v>29</v>
      </c>
      <c r="E31" s="10">
        <v>2</v>
      </c>
      <c r="F31" s="10">
        <v>1826</v>
      </c>
      <c r="G31" s="1" t="s">
        <v>35</v>
      </c>
      <c r="H31" s="10">
        <f t="shared" si="0"/>
        <v>3652</v>
      </c>
      <c r="I31" s="7">
        <v>2479.9140923851769</v>
      </c>
      <c r="J31" s="7">
        <f t="shared" si="1"/>
        <v>1172.0859076148231</v>
      </c>
      <c r="K31" s="1">
        <f>IF(B31="North",28.6,
IF(B31="South",13,
IF(B31="East",22.6,
IF(B31="West",19,
23.5))))</f>
        <v>22.6</v>
      </c>
      <c r="L31" s="1">
        <f>IF(B31="North",77.2,
IF(B31="South",80.2,
IF(B31="East",88.4,
IF(B31="West",72.8,
78.9))))</f>
        <v>88.4</v>
      </c>
    </row>
    <row r="32" spans="1:12" x14ac:dyDescent="0.25">
      <c r="A32" s="5">
        <v>45350</v>
      </c>
      <c r="B32" s="1" t="s">
        <v>10</v>
      </c>
      <c r="C32" s="1" t="s">
        <v>19</v>
      </c>
      <c r="D32" s="1" t="s">
        <v>32</v>
      </c>
      <c r="E32" s="10">
        <v>10</v>
      </c>
      <c r="F32" s="10">
        <v>601</v>
      </c>
      <c r="G32" s="1" t="s">
        <v>35</v>
      </c>
      <c r="H32" s="10">
        <f t="shared" si="0"/>
        <v>6010</v>
      </c>
      <c r="I32" s="7">
        <v>4022.4262967540262</v>
      </c>
      <c r="J32" s="7">
        <f t="shared" si="1"/>
        <v>1987.5737032459738</v>
      </c>
      <c r="K32" s="1">
        <f>IF(B32="North",28.6,
IF(B32="South",13,
IF(B32="East",22.6,
IF(B32="West",19,
23.5))))</f>
        <v>28.6</v>
      </c>
      <c r="L32" s="1">
        <f>IF(B32="North",77.2,
IF(B32="South",80.2,
IF(B32="East",88.4,
IF(B32="West",72.8,
78.9))))</f>
        <v>77.2</v>
      </c>
    </row>
    <row r="33" spans="1:12" x14ac:dyDescent="0.25">
      <c r="A33" s="5">
        <v>45461</v>
      </c>
      <c r="B33" s="1" t="s">
        <v>10</v>
      </c>
      <c r="C33" s="1" t="s">
        <v>24</v>
      </c>
      <c r="D33" s="1" t="s">
        <v>25</v>
      </c>
      <c r="E33" s="10">
        <v>13</v>
      </c>
      <c r="F33" s="10">
        <v>1982</v>
      </c>
      <c r="G33" s="1" t="s">
        <v>35</v>
      </c>
      <c r="H33" s="10">
        <f t="shared" si="0"/>
        <v>25766</v>
      </c>
      <c r="I33" s="7">
        <v>18545.18747721113</v>
      </c>
      <c r="J33" s="7">
        <f t="shared" si="1"/>
        <v>7220.8125227888704</v>
      </c>
      <c r="K33" s="1">
        <f>IF(B33="North",28.6,
IF(B33="South",13,
IF(B33="East",22.6,
IF(B33="West",19,
23.5))))</f>
        <v>28.6</v>
      </c>
      <c r="L33" s="1">
        <f>IF(B33="North",77.2,
IF(B33="South",80.2,
IF(B33="East",88.4,
IF(B33="West",72.8,
78.9))))</f>
        <v>77.2</v>
      </c>
    </row>
    <row r="34" spans="1:12" x14ac:dyDescent="0.25">
      <c r="A34" s="5">
        <v>45479</v>
      </c>
      <c r="B34" s="1" t="s">
        <v>10</v>
      </c>
      <c r="C34" s="1" t="s">
        <v>19</v>
      </c>
      <c r="D34" s="1" t="s">
        <v>27</v>
      </c>
      <c r="E34" s="10">
        <v>18</v>
      </c>
      <c r="F34" s="10">
        <v>124</v>
      </c>
      <c r="G34" s="1" t="s">
        <v>35</v>
      </c>
      <c r="H34" s="10">
        <f t="shared" si="0"/>
        <v>2232</v>
      </c>
      <c r="I34" s="7">
        <v>1736.4012008608011</v>
      </c>
      <c r="J34" s="7">
        <f t="shared" si="1"/>
        <v>495.59879913919895</v>
      </c>
      <c r="K34" s="1">
        <f>IF(B34="North",28.6,
IF(B34="South",13,
IF(B34="East",22.6,
IF(B34="West",19,
23.5))))</f>
        <v>28.6</v>
      </c>
      <c r="L34" s="1">
        <f>IF(B34="North",77.2,
IF(B34="South",80.2,
IF(B34="East",88.4,
IF(B34="West",72.8,
78.9))))</f>
        <v>77.2</v>
      </c>
    </row>
    <row r="35" spans="1:12" x14ac:dyDescent="0.25">
      <c r="A35" s="5">
        <v>45562</v>
      </c>
      <c r="B35" s="1" t="s">
        <v>12</v>
      </c>
      <c r="C35" s="1" t="s">
        <v>21</v>
      </c>
      <c r="D35" s="1" t="s">
        <v>30</v>
      </c>
      <c r="E35" s="10">
        <v>15</v>
      </c>
      <c r="F35" s="10">
        <v>1310</v>
      </c>
      <c r="G35" s="1" t="s">
        <v>35</v>
      </c>
      <c r="H35" s="10">
        <f t="shared" si="0"/>
        <v>19650</v>
      </c>
      <c r="I35" s="7">
        <v>15004.6476820362</v>
      </c>
      <c r="J35" s="7">
        <f t="shared" si="1"/>
        <v>4645.3523179637996</v>
      </c>
      <c r="K35" s="1">
        <f>IF(B35="North",28.6,
IF(B35="South",13,
IF(B35="East",22.6,
IF(B35="West",19,
23.5))))</f>
        <v>22.6</v>
      </c>
      <c r="L35" s="1">
        <f>IF(B35="North",77.2,
IF(B35="South",80.2,
IF(B35="East",88.4,
IF(B35="West",72.8,
78.9))))</f>
        <v>88.4</v>
      </c>
    </row>
    <row r="36" spans="1:12" x14ac:dyDescent="0.25">
      <c r="A36" s="5">
        <v>45481</v>
      </c>
      <c r="B36" s="1" t="s">
        <v>13</v>
      </c>
      <c r="C36" s="1" t="s">
        <v>24</v>
      </c>
      <c r="D36" s="1" t="s">
        <v>25</v>
      </c>
      <c r="E36" s="10">
        <v>10</v>
      </c>
      <c r="F36" s="10">
        <v>387</v>
      </c>
      <c r="G36" s="1" t="s">
        <v>35</v>
      </c>
      <c r="H36" s="10">
        <f t="shared" si="0"/>
        <v>3870</v>
      </c>
      <c r="I36" s="7">
        <f>H36*0.7</f>
        <v>2709</v>
      </c>
      <c r="J36" s="7">
        <f t="shared" si="1"/>
        <v>1161</v>
      </c>
      <c r="K36" s="1">
        <f>IF(B36="North",28.6,
IF(B36="South",13,
IF(B36="East",22.6,
IF(B36="West",19,
23.5))))</f>
        <v>13</v>
      </c>
      <c r="L36" s="1">
        <f>IF(B36="North",77.2,
IF(B36="South",80.2,
IF(B36="East",88.4,
IF(B36="West",72.8,
78.9))))</f>
        <v>80.2</v>
      </c>
    </row>
    <row r="37" spans="1:12" x14ac:dyDescent="0.25">
      <c r="A37" s="5">
        <v>45466</v>
      </c>
      <c r="B37" s="1" t="s">
        <v>11</v>
      </c>
      <c r="C37" s="1" t="s">
        <v>17</v>
      </c>
      <c r="D37" s="1" t="s">
        <v>31</v>
      </c>
      <c r="E37" s="10">
        <v>15</v>
      </c>
      <c r="F37" s="10">
        <v>1751</v>
      </c>
      <c r="G37" s="1" t="s">
        <v>33</v>
      </c>
      <c r="H37" s="10">
        <f t="shared" si="0"/>
        <v>26265</v>
      </c>
      <c r="I37" s="7">
        <v>22780.553836355379</v>
      </c>
      <c r="J37" s="7">
        <f t="shared" si="1"/>
        <v>3484.4461636446213</v>
      </c>
      <c r="K37" s="1">
        <f>IF(B37="North",28.6,
IF(B37="South",13,
IF(B37="East",22.6,
IF(B37="West",19,
23.5))))</f>
        <v>19</v>
      </c>
      <c r="L37" s="1">
        <f>IF(B37="North",77.2,
IF(B37="South",80.2,
IF(B37="East",88.4,
IF(B37="West",72.8,
78.9))))</f>
        <v>72.8</v>
      </c>
    </row>
    <row r="38" spans="1:12" x14ac:dyDescent="0.25">
      <c r="A38" s="5">
        <v>45342</v>
      </c>
      <c r="B38" s="1" t="s">
        <v>13</v>
      </c>
      <c r="C38" s="1" t="s">
        <v>23</v>
      </c>
      <c r="D38" s="1" t="s">
        <v>25</v>
      </c>
      <c r="E38" s="10">
        <v>13</v>
      </c>
      <c r="F38" s="10">
        <v>437</v>
      </c>
      <c r="G38" s="1" t="s">
        <v>34</v>
      </c>
      <c r="H38" s="10">
        <f t="shared" si="0"/>
        <v>5681</v>
      </c>
      <c r="I38" s="7">
        <v>3595.871841019703</v>
      </c>
      <c r="J38" s="7">
        <f t="shared" si="1"/>
        <v>2085.128158980297</v>
      </c>
      <c r="K38" s="1">
        <f>IF(B38="North",28.6,
IF(B38="South",13,
IF(B38="East",22.6,
IF(B38="West",19,
23.5))))</f>
        <v>13</v>
      </c>
      <c r="L38" s="1">
        <f>IF(B38="North",77.2,
IF(B38="South",80.2,
IF(B38="East",88.4,
IF(B38="West",72.8,
78.9))))</f>
        <v>80.2</v>
      </c>
    </row>
    <row r="39" spans="1:12" x14ac:dyDescent="0.25">
      <c r="A39" s="5">
        <v>45655</v>
      </c>
      <c r="B39" s="1" t="s">
        <v>11</v>
      </c>
      <c r="C39" s="1" t="s">
        <v>17</v>
      </c>
      <c r="D39" s="1" t="s">
        <v>29</v>
      </c>
      <c r="E39" s="10">
        <v>18</v>
      </c>
      <c r="F39" s="10">
        <v>1160</v>
      </c>
      <c r="G39" s="1" t="s">
        <v>33</v>
      </c>
      <c r="H39" s="10">
        <f t="shared" si="0"/>
        <v>20880</v>
      </c>
      <c r="I39" s="7">
        <v>12775.224815097639</v>
      </c>
      <c r="J39" s="7">
        <f t="shared" si="1"/>
        <v>8104.7751849023607</v>
      </c>
      <c r="K39" s="1">
        <f>IF(B39="North",28.6,
IF(B39="South",13,
IF(B39="East",22.6,
IF(B39="West",19,
23.5))))</f>
        <v>19</v>
      </c>
      <c r="L39" s="1">
        <f>IF(B39="North",77.2,
IF(B39="South",80.2,
IF(B39="East",88.4,
IF(B39="West",72.8,
78.9))))</f>
        <v>72.8</v>
      </c>
    </row>
    <row r="40" spans="1:12" x14ac:dyDescent="0.25">
      <c r="A40" s="5">
        <v>45346</v>
      </c>
      <c r="B40" s="1" t="s">
        <v>10</v>
      </c>
      <c r="C40" s="1" t="s">
        <v>21</v>
      </c>
      <c r="D40" s="1" t="s">
        <v>29</v>
      </c>
      <c r="E40" s="10">
        <v>15</v>
      </c>
      <c r="F40" s="10">
        <v>1917</v>
      </c>
      <c r="G40" s="1" t="s">
        <v>35</v>
      </c>
      <c r="H40" s="10">
        <f t="shared" si="0"/>
        <v>28755</v>
      </c>
      <c r="I40" s="7">
        <v>22452.245633032559</v>
      </c>
      <c r="J40" s="7">
        <f t="shared" si="1"/>
        <v>6302.7543669674415</v>
      </c>
      <c r="K40" s="1">
        <f>IF(B40="North",28.6,
IF(B40="South",13,
IF(B40="East",22.6,
IF(B40="West",19,
23.5))))</f>
        <v>28.6</v>
      </c>
      <c r="L40" s="1">
        <f>IF(B40="North",77.2,
IF(B40="South",80.2,
IF(B40="East",88.4,
IF(B40="West",72.8,
78.9))))</f>
        <v>77.2</v>
      </c>
    </row>
    <row r="41" spans="1:12" x14ac:dyDescent="0.25">
      <c r="A41" s="5">
        <v>45535</v>
      </c>
      <c r="B41" s="1" t="s">
        <v>13</v>
      </c>
      <c r="C41" s="1" t="s">
        <v>19</v>
      </c>
      <c r="D41" s="1" t="s">
        <v>25</v>
      </c>
      <c r="E41" s="10">
        <v>11</v>
      </c>
      <c r="F41" s="10">
        <v>236</v>
      </c>
      <c r="G41" s="1" t="s">
        <v>35</v>
      </c>
      <c r="H41" s="10">
        <f t="shared" si="0"/>
        <v>2596</v>
      </c>
      <c r="I41" s="7">
        <v>1653.7095024893929</v>
      </c>
      <c r="J41" s="7">
        <f t="shared" si="1"/>
        <v>942.29049751060711</v>
      </c>
      <c r="K41" s="1">
        <f>IF(B41="North",28.6,
IF(B41="South",13,
IF(B41="East",22.6,
IF(B41="West",19,
23.5))))</f>
        <v>13</v>
      </c>
      <c r="L41" s="1">
        <f>IF(B41="North",77.2,
IF(B41="South",80.2,
IF(B41="East",88.4,
IF(B41="West",72.8,
78.9))))</f>
        <v>80.2</v>
      </c>
    </row>
    <row r="42" spans="1:12" x14ac:dyDescent="0.25">
      <c r="A42" s="5">
        <v>45611</v>
      </c>
      <c r="B42" s="1" t="s">
        <v>11</v>
      </c>
      <c r="C42" s="1" t="s">
        <v>17</v>
      </c>
      <c r="D42" s="1" t="s">
        <v>28</v>
      </c>
      <c r="E42" s="10">
        <v>19</v>
      </c>
      <c r="F42" s="10">
        <v>607</v>
      </c>
      <c r="G42" s="1" t="s">
        <v>33</v>
      </c>
      <c r="H42" s="10">
        <f t="shared" si="0"/>
        <v>11533</v>
      </c>
      <c r="I42" s="7">
        <v>8666.6717283237776</v>
      </c>
      <c r="J42" s="7">
        <f t="shared" si="1"/>
        <v>2866.3282716762224</v>
      </c>
      <c r="K42" s="1">
        <f>IF(B42="North",28.6,
IF(B42="South",13,
IF(B42="East",22.6,
IF(B42="West",19,
23.5))))</f>
        <v>19</v>
      </c>
      <c r="L42" s="1">
        <f>IF(B42="North",77.2,
IF(B42="South",80.2,
IF(B42="East",88.4,
IF(B42="West",72.8,
78.9))))</f>
        <v>72.8</v>
      </c>
    </row>
    <row r="43" spans="1:12" x14ac:dyDescent="0.25">
      <c r="A43" s="5">
        <v>45422</v>
      </c>
      <c r="B43" s="1" t="s">
        <v>12</v>
      </c>
      <c r="C43" s="1" t="s">
        <v>19</v>
      </c>
      <c r="D43" s="1" t="s">
        <v>27</v>
      </c>
      <c r="E43" s="10">
        <v>3</v>
      </c>
      <c r="F43" s="10">
        <v>326</v>
      </c>
      <c r="G43" s="1" t="s">
        <v>35</v>
      </c>
      <c r="H43" s="10">
        <f t="shared" si="0"/>
        <v>978</v>
      </c>
      <c r="I43" s="7">
        <v>866.05028164578619</v>
      </c>
      <c r="J43" s="7">
        <f t="shared" si="1"/>
        <v>111.94971835421381</v>
      </c>
      <c r="K43" s="1">
        <f>IF(B43="North",28.6,
IF(B43="South",13,
IF(B43="East",22.6,
IF(B43="West",19,
23.5))))</f>
        <v>22.6</v>
      </c>
      <c r="L43" s="1">
        <f>IF(B43="North",77.2,
IF(B43="South",80.2,
IF(B43="East",88.4,
IF(B43="West",72.8,
78.9))))</f>
        <v>88.4</v>
      </c>
    </row>
    <row r="44" spans="1:12" x14ac:dyDescent="0.25">
      <c r="A44" s="5">
        <v>45598</v>
      </c>
      <c r="B44" s="1" t="s">
        <v>12</v>
      </c>
      <c r="C44" s="1" t="s">
        <v>17</v>
      </c>
      <c r="D44" s="1" t="s">
        <v>28</v>
      </c>
      <c r="E44" s="10">
        <v>7</v>
      </c>
      <c r="F44" s="10">
        <v>419</v>
      </c>
      <c r="G44" s="1" t="s">
        <v>33</v>
      </c>
      <c r="H44" s="10">
        <f t="shared" si="0"/>
        <v>2933</v>
      </c>
      <c r="I44" s="7">
        <v>2374.4807808513101</v>
      </c>
      <c r="J44" s="7">
        <f t="shared" si="1"/>
        <v>558.5192191486899</v>
      </c>
      <c r="K44" s="1">
        <f>IF(B44="North",28.6,
IF(B44="South",13,
IF(B44="East",22.6,
IF(B44="West",19,
23.5))))</f>
        <v>22.6</v>
      </c>
      <c r="L44" s="1">
        <f>IF(B44="North",77.2,
IF(B44="South",80.2,
IF(B44="East",88.4,
IF(B44="West",72.8,
78.9))))</f>
        <v>88.4</v>
      </c>
    </row>
    <row r="45" spans="1:12" x14ac:dyDescent="0.25">
      <c r="A45" s="5">
        <v>45426</v>
      </c>
      <c r="B45" s="1" t="s">
        <v>13</v>
      </c>
      <c r="C45" s="1" t="s">
        <v>17</v>
      </c>
      <c r="D45" s="1" t="s">
        <v>28</v>
      </c>
      <c r="E45" s="10">
        <v>14</v>
      </c>
      <c r="F45" s="10">
        <v>1963</v>
      </c>
      <c r="G45" s="1" t="s">
        <v>33</v>
      </c>
      <c r="H45" s="10">
        <f t="shared" si="0"/>
        <v>27482</v>
      </c>
      <c r="I45" s="7">
        <v>21579.882522747379</v>
      </c>
      <c r="J45" s="7">
        <f t="shared" si="1"/>
        <v>5902.117477252621</v>
      </c>
      <c r="K45" s="1">
        <f>IF(B45="North",28.6,
IF(B45="South",13,
IF(B45="East",22.6,
IF(B45="West",19,
23.5))))</f>
        <v>13</v>
      </c>
      <c r="L45" s="1">
        <f>IF(B45="North",77.2,
IF(B45="South",80.2,
IF(B45="East",88.4,
IF(B45="West",72.8,
78.9))))</f>
        <v>80.2</v>
      </c>
    </row>
    <row r="46" spans="1:12" x14ac:dyDescent="0.25">
      <c r="A46" s="5">
        <v>45312</v>
      </c>
      <c r="B46" s="1" t="s">
        <v>13</v>
      </c>
      <c r="C46" s="1" t="s">
        <v>19</v>
      </c>
      <c r="D46" s="1" t="s">
        <v>25</v>
      </c>
      <c r="E46" s="10">
        <v>14</v>
      </c>
      <c r="F46" s="10">
        <v>1015</v>
      </c>
      <c r="G46" s="1" t="s">
        <v>35</v>
      </c>
      <c r="H46" s="10">
        <f t="shared" si="0"/>
        <v>14210</v>
      </c>
      <c r="I46" s="7">
        <v>10976.39467363053</v>
      </c>
      <c r="J46" s="7">
        <f t="shared" si="1"/>
        <v>3233.6053263694703</v>
      </c>
      <c r="K46" s="1">
        <f>IF(B46="North",28.6,
IF(B46="South",13,
IF(B46="East",22.6,
IF(B46="West",19,
23.5))))</f>
        <v>13</v>
      </c>
      <c r="L46" s="1">
        <f>IF(B46="North",77.2,
IF(B46="South",80.2,
IF(B46="East",88.4,
IF(B46="West",72.8,
78.9))))</f>
        <v>80.2</v>
      </c>
    </row>
    <row r="47" spans="1:12" x14ac:dyDescent="0.25">
      <c r="A47" s="5">
        <v>45620</v>
      </c>
      <c r="B47" s="1" t="s">
        <v>10</v>
      </c>
      <c r="C47" s="1" t="s">
        <v>20</v>
      </c>
      <c r="D47" s="1" t="s">
        <v>26</v>
      </c>
      <c r="E47" s="10">
        <v>13</v>
      </c>
      <c r="F47" s="10">
        <v>1305</v>
      </c>
      <c r="G47" s="1" t="s">
        <v>33</v>
      </c>
      <c r="H47" s="10">
        <f t="shared" si="0"/>
        <v>16965</v>
      </c>
      <c r="I47" s="7">
        <v>11092.765024069829</v>
      </c>
      <c r="J47" s="7">
        <f t="shared" si="1"/>
        <v>5872.2349759301705</v>
      </c>
      <c r="K47" s="1">
        <f>IF(B47="North",28.6,
IF(B47="South",13,
IF(B47="East",22.6,
IF(B47="West",19,
23.5))))</f>
        <v>28.6</v>
      </c>
      <c r="L47" s="1">
        <f>IF(B47="North",77.2,
IF(B47="South",80.2,
IF(B47="East",88.4,
IF(B47="West",72.8,
78.9))))</f>
        <v>77.2</v>
      </c>
    </row>
    <row r="48" spans="1:12" x14ac:dyDescent="0.25">
      <c r="A48" s="5">
        <v>45458</v>
      </c>
      <c r="B48" s="1" t="s">
        <v>13</v>
      </c>
      <c r="C48" s="1" t="s">
        <v>17</v>
      </c>
      <c r="D48" s="1" t="s">
        <v>26</v>
      </c>
      <c r="E48" s="10">
        <v>12</v>
      </c>
      <c r="F48" s="10">
        <v>1997</v>
      </c>
      <c r="G48" s="1" t="s">
        <v>33</v>
      </c>
      <c r="H48" s="10">
        <f t="shared" si="0"/>
        <v>23964</v>
      </c>
      <c r="I48" s="7">
        <v>17488.79174081637</v>
      </c>
      <c r="J48" s="7">
        <f t="shared" si="1"/>
        <v>6475.2082591836297</v>
      </c>
      <c r="K48" s="1">
        <f>IF(B48="North",28.6,
IF(B48="South",13,
IF(B48="East",22.6,
IF(B48="West",19,
23.5))))</f>
        <v>13</v>
      </c>
      <c r="L48" s="1">
        <f>IF(B48="North",77.2,
IF(B48="South",80.2,
IF(B48="East",88.4,
IF(B48="West",72.8,
78.9))))</f>
        <v>80.2</v>
      </c>
    </row>
    <row r="49" spans="1:12" x14ac:dyDescent="0.25">
      <c r="A49" s="5">
        <v>45565</v>
      </c>
      <c r="B49" s="1" t="s">
        <v>10</v>
      </c>
      <c r="C49" s="1" t="s">
        <v>24</v>
      </c>
      <c r="D49" s="1" t="s">
        <v>26</v>
      </c>
      <c r="E49" s="10">
        <v>9</v>
      </c>
      <c r="F49" s="10">
        <v>185</v>
      </c>
      <c r="G49" s="1" t="s">
        <v>35</v>
      </c>
      <c r="H49" s="10">
        <f t="shared" si="0"/>
        <v>1665</v>
      </c>
      <c r="I49" s="7">
        <v>1170.0904919296979</v>
      </c>
      <c r="J49" s="7">
        <f t="shared" si="1"/>
        <v>494.90950807030208</v>
      </c>
      <c r="K49" s="1">
        <f>IF(B49="North",28.6,
IF(B49="South",13,
IF(B49="East",22.6,
IF(B49="West",19,
23.5))))</f>
        <v>28.6</v>
      </c>
      <c r="L49" s="1">
        <f>IF(B49="North",77.2,
IF(B49="South",80.2,
IF(B49="East",88.4,
IF(B49="West",72.8,
78.9))))</f>
        <v>77.2</v>
      </c>
    </row>
    <row r="50" spans="1:12" x14ac:dyDescent="0.25">
      <c r="A50" s="5">
        <v>45380</v>
      </c>
      <c r="B50" s="1" t="s">
        <v>10</v>
      </c>
      <c r="C50" s="1" t="s">
        <v>23</v>
      </c>
      <c r="D50" s="1" t="s">
        <v>27</v>
      </c>
      <c r="E50" s="10">
        <v>1</v>
      </c>
      <c r="F50" s="10">
        <v>1590</v>
      </c>
      <c r="G50" s="1" t="s">
        <v>34</v>
      </c>
      <c r="H50" s="10">
        <f t="shared" si="0"/>
        <v>1590</v>
      </c>
      <c r="I50" s="7">
        <v>1408.616451699924</v>
      </c>
      <c r="J50" s="7">
        <f t="shared" si="1"/>
        <v>181.38354830007597</v>
      </c>
      <c r="K50" s="1">
        <f>IF(B50="North",28.6,
IF(B50="South",13,
IF(B50="East",22.6,
IF(B50="West",19,
23.5))))</f>
        <v>28.6</v>
      </c>
      <c r="L50" s="1">
        <f>IF(B50="North",77.2,
IF(B50="South",80.2,
IF(B50="East",88.4,
IF(B50="West",72.8,
78.9))))</f>
        <v>77.2</v>
      </c>
    </row>
    <row r="51" spans="1:12" x14ac:dyDescent="0.25">
      <c r="A51" s="5">
        <v>45607</v>
      </c>
      <c r="B51" s="1" t="s">
        <v>12</v>
      </c>
      <c r="C51" s="1" t="s">
        <v>21</v>
      </c>
      <c r="D51" s="1" t="s">
        <v>28</v>
      </c>
      <c r="E51" s="10">
        <v>19</v>
      </c>
      <c r="F51" s="10">
        <v>1025</v>
      </c>
      <c r="G51" s="1" t="s">
        <v>35</v>
      </c>
      <c r="H51" s="10">
        <f t="shared" si="0"/>
        <v>19475</v>
      </c>
      <c r="I51" s="7">
        <v>13100.75595178346</v>
      </c>
      <c r="J51" s="7">
        <f t="shared" si="1"/>
        <v>6374.2440482165402</v>
      </c>
      <c r="K51" s="1">
        <f>IF(B51="North",28.6,
IF(B51="South",13,
IF(B51="East",22.6,
IF(B51="West",19,
23.5))))</f>
        <v>22.6</v>
      </c>
      <c r="L51" s="1">
        <f>IF(B51="North",77.2,
IF(B51="South",80.2,
IF(B51="East",88.4,
IF(B51="West",72.8,
78.9))))</f>
        <v>88.4</v>
      </c>
    </row>
    <row r="52" spans="1:12" x14ac:dyDescent="0.25">
      <c r="A52" s="5">
        <v>45305</v>
      </c>
      <c r="B52" s="1" t="s">
        <v>12</v>
      </c>
      <c r="C52" s="1" t="s">
        <v>20</v>
      </c>
      <c r="D52" s="1" t="s">
        <v>30</v>
      </c>
      <c r="E52" s="10">
        <v>11</v>
      </c>
      <c r="F52" s="10">
        <v>152</v>
      </c>
      <c r="G52" s="1" t="s">
        <v>33</v>
      </c>
      <c r="H52" s="10">
        <f t="shared" si="0"/>
        <v>1672</v>
      </c>
      <c r="I52" s="7">
        <v>1239.712611892259</v>
      </c>
      <c r="J52" s="7">
        <f t="shared" si="1"/>
        <v>432.28738810774098</v>
      </c>
      <c r="K52" s="1">
        <f>IF(B52="North",28.6,
IF(B52="South",13,
IF(B52="East",22.6,
IF(B52="West",19,
23.5))))</f>
        <v>22.6</v>
      </c>
      <c r="L52" s="1">
        <f>IF(B52="North",77.2,
IF(B52="South",80.2,
IF(B52="East",88.4,
IF(B52="West",72.8,
78.9))))</f>
        <v>88.4</v>
      </c>
    </row>
    <row r="53" spans="1:12" x14ac:dyDescent="0.25">
      <c r="A53" s="5">
        <v>45533</v>
      </c>
      <c r="B53" s="1" t="s">
        <v>11</v>
      </c>
      <c r="C53" s="1" t="s">
        <v>19</v>
      </c>
      <c r="D53" s="1" t="s">
        <v>31</v>
      </c>
      <c r="E53" s="10">
        <v>19</v>
      </c>
      <c r="F53" s="10">
        <v>959</v>
      </c>
      <c r="G53" s="1" t="s">
        <v>35</v>
      </c>
      <c r="H53" s="10">
        <f t="shared" si="0"/>
        <v>18221</v>
      </c>
      <c r="I53" s="7">
        <v>16060.423223476961</v>
      </c>
      <c r="J53" s="7">
        <f t="shared" si="1"/>
        <v>2160.5767765230394</v>
      </c>
      <c r="K53" s="1">
        <f>IF(B53="North",28.6,
IF(B53="South",13,
IF(B53="East",22.6,
IF(B53="West",19,
23.5))))</f>
        <v>19</v>
      </c>
      <c r="L53" s="1">
        <f>IF(B53="North",77.2,
IF(B53="South",80.2,
IF(B53="East",88.4,
IF(B53="West",72.8,
78.9))))</f>
        <v>72.8</v>
      </c>
    </row>
    <row r="54" spans="1:12" x14ac:dyDescent="0.25">
      <c r="A54" s="5">
        <v>45556</v>
      </c>
      <c r="B54" s="1" t="s">
        <v>12</v>
      </c>
      <c r="C54" s="1" t="s">
        <v>20</v>
      </c>
      <c r="D54" s="1" t="s">
        <v>26</v>
      </c>
      <c r="E54" s="10">
        <v>18</v>
      </c>
      <c r="F54" s="10">
        <v>966</v>
      </c>
      <c r="G54" s="1" t="s">
        <v>33</v>
      </c>
      <c r="H54" s="10">
        <f t="shared" si="0"/>
        <v>17388</v>
      </c>
      <c r="I54" s="7">
        <v>14549.481955384441</v>
      </c>
      <c r="J54" s="7">
        <f t="shared" si="1"/>
        <v>2838.5180446155591</v>
      </c>
      <c r="K54" s="1">
        <f>IF(B54="North",28.6,
IF(B54="South",13,
IF(B54="East",22.6,
IF(B54="West",19,
23.5))))</f>
        <v>22.6</v>
      </c>
      <c r="L54" s="1">
        <f>IF(B54="North",77.2,
IF(B54="South",80.2,
IF(B54="East",88.4,
IF(B54="West",72.8,
78.9))))</f>
        <v>88.4</v>
      </c>
    </row>
    <row r="55" spans="1:12" x14ac:dyDescent="0.25">
      <c r="A55" s="5">
        <v>45637</v>
      </c>
      <c r="B55" s="1" t="s">
        <v>12</v>
      </c>
      <c r="C55" s="1" t="s">
        <v>40</v>
      </c>
      <c r="D55" s="1" t="s">
        <v>26</v>
      </c>
      <c r="E55" s="10">
        <v>10</v>
      </c>
      <c r="F55" s="10">
        <v>1358</v>
      </c>
      <c r="G55" s="1" t="s">
        <v>35</v>
      </c>
      <c r="H55" s="10">
        <f t="shared" si="0"/>
        <v>13580</v>
      </c>
      <c r="I55" s="7">
        <f>H55*0.7</f>
        <v>9506</v>
      </c>
      <c r="J55" s="7">
        <f t="shared" si="1"/>
        <v>4074</v>
      </c>
      <c r="K55" s="1">
        <f>IF(B55="North",28.6,
IF(B55="South",13,
IF(B55="East",22.6,
IF(B55="West",19,
23.5))))</f>
        <v>22.6</v>
      </c>
      <c r="L55" s="1">
        <f>IF(B55="North",77.2,
IF(B55="South",80.2,
IF(B55="East",88.4,
IF(B55="West",72.8,
78.9))))</f>
        <v>88.4</v>
      </c>
    </row>
    <row r="56" spans="1:12" x14ac:dyDescent="0.25">
      <c r="A56" s="5">
        <v>45344</v>
      </c>
      <c r="B56" s="1" t="s">
        <v>13</v>
      </c>
      <c r="C56" s="1" t="s">
        <v>22</v>
      </c>
      <c r="D56" s="1" t="s">
        <v>29</v>
      </c>
      <c r="E56" s="10">
        <v>1</v>
      </c>
      <c r="F56" s="10">
        <v>1902</v>
      </c>
      <c r="G56" s="1" t="s">
        <v>35</v>
      </c>
      <c r="H56" s="10">
        <f t="shared" si="0"/>
        <v>1902</v>
      </c>
      <c r="I56" s="7">
        <v>1488.3132435868731</v>
      </c>
      <c r="J56" s="7">
        <f t="shared" si="1"/>
        <v>413.68675641312689</v>
      </c>
      <c r="K56" s="1">
        <f>IF(B56="North",28.6,
IF(B56="South",13,
IF(B56="East",22.6,
IF(B56="West",19,
23.5))))</f>
        <v>13</v>
      </c>
      <c r="L56" s="1">
        <f>IF(B56="North",77.2,
IF(B56="South",80.2,
IF(B56="East",88.4,
IF(B56="West",72.8,
78.9))))</f>
        <v>80.2</v>
      </c>
    </row>
    <row r="57" spans="1:12" x14ac:dyDescent="0.25">
      <c r="A57" s="5">
        <v>45631</v>
      </c>
      <c r="B57" s="1" t="s">
        <v>12</v>
      </c>
      <c r="C57" s="1" t="s">
        <v>17</v>
      </c>
      <c r="D57" s="1" t="s">
        <v>28</v>
      </c>
      <c r="E57" s="10">
        <v>19</v>
      </c>
      <c r="F57" s="10">
        <v>1922</v>
      </c>
      <c r="G57" s="1" t="s">
        <v>33</v>
      </c>
      <c r="H57" s="10">
        <f t="shared" si="0"/>
        <v>36518</v>
      </c>
      <c r="I57" s="7">
        <v>25567.5685084836</v>
      </c>
      <c r="J57" s="7">
        <f t="shared" si="1"/>
        <v>10950.4314915164</v>
      </c>
      <c r="K57" s="1">
        <f>IF(B57="North",28.6,
IF(B57="South",13,
IF(B57="East",22.6,
IF(B57="West",19,
23.5))))</f>
        <v>22.6</v>
      </c>
      <c r="L57" s="1">
        <f>IF(B57="North",77.2,
IF(B57="South",80.2,
IF(B57="East",88.4,
IF(B57="West",72.8,
78.9))))</f>
        <v>88.4</v>
      </c>
    </row>
    <row r="58" spans="1:12" x14ac:dyDescent="0.25">
      <c r="A58" s="5">
        <v>45383</v>
      </c>
      <c r="B58" s="1" t="s">
        <v>11</v>
      </c>
      <c r="C58" s="1" t="s">
        <v>40</v>
      </c>
      <c r="D58" s="1" t="s">
        <v>28</v>
      </c>
      <c r="E58" s="10">
        <v>17</v>
      </c>
      <c r="F58" s="10">
        <v>532</v>
      </c>
      <c r="G58" s="1" t="s">
        <v>33</v>
      </c>
      <c r="H58" s="10">
        <f t="shared" si="0"/>
        <v>9044</v>
      </c>
      <c r="I58" s="7">
        <v>7669.2661707890857</v>
      </c>
      <c r="J58" s="7">
        <f t="shared" si="1"/>
        <v>1374.7338292109143</v>
      </c>
      <c r="K58" s="1">
        <f>IF(B58="North",28.6,
IF(B58="South",13,
IF(B58="East",22.6,
IF(B58="West",19,
23.5))))</f>
        <v>19</v>
      </c>
      <c r="L58" s="1">
        <f>IF(B58="North",77.2,
IF(B58="South",80.2,
IF(B58="East",88.4,
IF(B58="West",72.8,
78.9))))</f>
        <v>72.8</v>
      </c>
    </row>
    <row r="59" spans="1:12" x14ac:dyDescent="0.25">
      <c r="A59" s="5">
        <v>45555</v>
      </c>
      <c r="B59" s="1" t="s">
        <v>13</v>
      </c>
      <c r="C59" s="1" t="s">
        <v>24</v>
      </c>
      <c r="D59" s="1" t="s">
        <v>27</v>
      </c>
      <c r="E59" s="10">
        <v>5</v>
      </c>
      <c r="F59" s="10">
        <v>1619</v>
      </c>
      <c r="G59" s="1" t="s">
        <v>35</v>
      </c>
      <c r="H59" s="10">
        <f t="shared" si="0"/>
        <v>8095</v>
      </c>
      <c r="I59" s="7">
        <v>5564.8015550302307</v>
      </c>
      <c r="J59" s="7">
        <f t="shared" si="1"/>
        <v>2530.1984449697693</v>
      </c>
      <c r="K59" s="1">
        <f>IF(B59="North",28.6,
IF(B59="South",13,
IF(B59="East",22.6,
IF(B59="West",19,
23.5))))</f>
        <v>13</v>
      </c>
      <c r="L59" s="1">
        <f>IF(B59="North",77.2,
IF(B59="South",80.2,
IF(B59="East",88.4,
IF(B59="West",72.8,
78.9))))</f>
        <v>80.2</v>
      </c>
    </row>
    <row r="60" spans="1:12" x14ac:dyDescent="0.25">
      <c r="A60" s="5">
        <v>45326</v>
      </c>
      <c r="B60" s="1" t="s">
        <v>11</v>
      </c>
      <c r="C60" s="1" t="s">
        <v>23</v>
      </c>
      <c r="D60" s="1" t="s">
        <v>27</v>
      </c>
      <c r="E60" s="10">
        <v>3</v>
      </c>
      <c r="F60" s="10">
        <v>1098</v>
      </c>
      <c r="G60" s="1" t="s">
        <v>34</v>
      </c>
      <c r="H60" s="10">
        <f t="shared" si="0"/>
        <v>3294</v>
      </c>
      <c r="I60" s="7">
        <v>2139.2284828493262</v>
      </c>
      <c r="J60" s="7">
        <f t="shared" si="1"/>
        <v>1154.7715171506738</v>
      </c>
      <c r="K60" s="1">
        <f>IF(B60="North",28.6,
IF(B60="South",13,
IF(B60="East",22.6,
IF(B60="West",19,
23.5))))</f>
        <v>19</v>
      </c>
      <c r="L60" s="1">
        <f>IF(B60="North",77.2,
IF(B60="South",80.2,
IF(B60="East",88.4,
IF(B60="West",72.8,
78.9))))</f>
        <v>72.8</v>
      </c>
    </row>
    <row r="61" spans="1:12" x14ac:dyDescent="0.25">
      <c r="A61" s="5">
        <v>45497</v>
      </c>
      <c r="B61" s="1" t="s">
        <v>12</v>
      </c>
      <c r="C61" s="1" t="s">
        <v>21</v>
      </c>
      <c r="D61" s="1" t="s">
        <v>26</v>
      </c>
      <c r="E61" s="10">
        <v>2</v>
      </c>
      <c r="F61" s="10">
        <v>199</v>
      </c>
      <c r="G61" s="1" t="s">
        <v>35</v>
      </c>
      <c r="H61" s="10">
        <f t="shared" si="0"/>
        <v>398</v>
      </c>
      <c r="I61" s="7">
        <v>323.1308843962575</v>
      </c>
      <c r="J61" s="7">
        <f t="shared" si="1"/>
        <v>74.8691156037425</v>
      </c>
      <c r="K61" s="1">
        <f>IF(B61="North",28.6,
IF(B61="South",13,
IF(B61="East",22.6,
IF(B61="West",19,
23.5))))</f>
        <v>22.6</v>
      </c>
      <c r="L61" s="1">
        <f>IF(B61="North",77.2,
IF(B61="South",80.2,
IF(B61="East",88.4,
IF(B61="West",72.8,
78.9))))</f>
        <v>88.4</v>
      </c>
    </row>
    <row r="62" spans="1:12" x14ac:dyDescent="0.25">
      <c r="A62" s="5">
        <v>45372</v>
      </c>
      <c r="B62" s="1" t="s">
        <v>11</v>
      </c>
      <c r="C62" s="1" t="s">
        <v>20</v>
      </c>
      <c r="D62" s="1" t="s">
        <v>28</v>
      </c>
      <c r="E62" s="10">
        <v>3</v>
      </c>
      <c r="F62" s="10">
        <v>1089</v>
      </c>
      <c r="G62" s="1" t="s">
        <v>33</v>
      </c>
      <c r="H62" s="10">
        <f t="shared" si="0"/>
        <v>3267</v>
      </c>
      <c r="I62" s="7">
        <v>2586.440445830026</v>
      </c>
      <c r="J62" s="7">
        <f t="shared" si="1"/>
        <v>680.55955416997404</v>
      </c>
      <c r="K62" s="1">
        <f>IF(B62="North",28.6,
IF(B62="South",13,
IF(B62="East",22.6,
IF(B62="West",19,
23.5))))</f>
        <v>19</v>
      </c>
      <c r="L62" s="1">
        <f>IF(B62="North",77.2,
IF(B62="South",80.2,
IF(B62="East",88.4,
IF(B62="West",72.8,
78.9))))</f>
        <v>72.8</v>
      </c>
    </row>
    <row r="63" spans="1:12" x14ac:dyDescent="0.25">
      <c r="A63" s="5">
        <v>45341</v>
      </c>
      <c r="B63" s="1" t="s">
        <v>13</v>
      </c>
      <c r="C63" s="1" t="s">
        <v>22</v>
      </c>
      <c r="D63" s="1" t="s">
        <v>30</v>
      </c>
      <c r="E63" s="10">
        <v>8</v>
      </c>
      <c r="F63" s="10">
        <v>698</v>
      </c>
      <c r="G63" s="1" t="s">
        <v>35</v>
      </c>
      <c r="H63" s="10">
        <f t="shared" si="0"/>
        <v>5584</v>
      </c>
      <c r="I63" s="7">
        <v>4822.8152016278063</v>
      </c>
      <c r="J63" s="7">
        <f t="shared" si="1"/>
        <v>761.18479837219365</v>
      </c>
      <c r="K63" s="1">
        <f>IF(B63="North",28.6,
IF(B63="South",13,
IF(B63="East",22.6,
IF(B63="West",19,
23.5))))</f>
        <v>13</v>
      </c>
      <c r="L63" s="1">
        <f>IF(B63="North",77.2,
IF(B63="South",80.2,
IF(B63="East",88.4,
IF(B63="West",72.8,
78.9))))</f>
        <v>80.2</v>
      </c>
    </row>
    <row r="64" spans="1:12" x14ac:dyDescent="0.25">
      <c r="A64" s="5">
        <v>45651</v>
      </c>
      <c r="B64" s="1" t="s">
        <v>10</v>
      </c>
      <c r="C64" s="1" t="s">
        <v>17</v>
      </c>
      <c r="D64" s="1" t="s">
        <v>31</v>
      </c>
      <c r="E64" s="10">
        <v>16</v>
      </c>
      <c r="F64" s="10">
        <v>502</v>
      </c>
      <c r="G64" s="1" t="s">
        <v>33</v>
      </c>
      <c r="H64" s="10">
        <f t="shared" si="0"/>
        <v>8032</v>
      </c>
      <c r="I64" s="7">
        <v>7137.0538964335556</v>
      </c>
      <c r="J64" s="7">
        <f t="shared" si="1"/>
        <v>894.94610356644444</v>
      </c>
      <c r="K64" s="1">
        <f>IF(B64="North",28.6,
IF(B64="South",13,
IF(B64="East",22.6,
IF(B64="West",19,
23.5))))</f>
        <v>28.6</v>
      </c>
      <c r="L64" s="1">
        <f>IF(B64="North",77.2,
IF(B64="South",80.2,
IF(B64="East",88.4,
IF(B64="West",72.8,
78.9))))</f>
        <v>77.2</v>
      </c>
    </row>
    <row r="65" spans="1:12" x14ac:dyDescent="0.25">
      <c r="A65" s="5">
        <v>45293</v>
      </c>
      <c r="B65" s="1" t="s">
        <v>11</v>
      </c>
      <c r="C65" s="1" t="s">
        <v>18</v>
      </c>
      <c r="D65" s="1" t="s">
        <v>25</v>
      </c>
      <c r="E65" s="10">
        <v>6</v>
      </c>
      <c r="F65" s="10">
        <v>495</v>
      </c>
      <c r="G65" s="1" t="s">
        <v>34</v>
      </c>
      <c r="H65" s="10">
        <f t="shared" si="0"/>
        <v>2970</v>
      </c>
      <c r="I65" s="7">
        <v>2545.7630502170782</v>
      </c>
      <c r="J65" s="7">
        <f t="shared" si="1"/>
        <v>424.23694978292178</v>
      </c>
      <c r="K65" s="1">
        <f>IF(B65="North",28.6,
IF(B65="South",13,
IF(B65="East",22.6,
IF(B65="West",19,
23.5))))</f>
        <v>19</v>
      </c>
      <c r="L65" s="1">
        <f>IF(B65="North",77.2,
IF(B65="South",80.2,
IF(B65="East",88.4,
IF(B65="West",72.8,
78.9))))</f>
        <v>72.8</v>
      </c>
    </row>
    <row r="66" spans="1:12" x14ac:dyDescent="0.25">
      <c r="A66" s="5">
        <v>45345</v>
      </c>
      <c r="B66" s="1" t="s">
        <v>11</v>
      </c>
      <c r="C66" s="1" t="s">
        <v>18</v>
      </c>
      <c r="D66" s="1" t="s">
        <v>28</v>
      </c>
      <c r="E66" s="10">
        <v>13</v>
      </c>
      <c r="F66" s="10">
        <v>1650</v>
      </c>
      <c r="G66" s="1" t="s">
        <v>34</v>
      </c>
      <c r="H66" s="10">
        <f t="shared" si="0"/>
        <v>21450</v>
      </c>
      <c r="I66" s="7">
        <v>13256.24026748052</v>
      </c>
      <c r="J66" s="7">
        <f t="shared" si="1"/>
        <v>8193.7597325194802</v>
      </c>
      <c r="K66" s="1">
        <f>IF(B66="North",28.6,
IF(B66="South",13,
IF(B66="East",22.6,
IF(B66="West",19,
23.5))))</f>
        <v>19</v>
      </c>
      <c r="L66" s="1">
        <f>IF(B66="North",77.2,
IF(B66="South",80.2,
IF(B66="East",88.4,
IF(B66="West",72.8,
78.9))))</f>
        <v>72.8</v>
      </c>
    </row>
    <row r="67" spans="1:12" x14ac:dyDescent="0.25">
      <c r="A67" s="5">
        <v>45397</v>
      </c>
      <c r="B67" s="1" t="s">
        <v>13</v>
      </c>
      <c r="C67" s="1" t="s">
        <v>21</v>
      </c>
      <c r="D67" s="1" t="s">
        <v>29</v>
      </c>
      <c r="E67" s="10">
        <v>16</v>
      </c>
      <c r="F67" s="10">
        <v>514</v>
      </c>
      <c r="G67" s="1" t="s">
        <v>35</v>
      </c>
      <c r="H67" s="10">
        <f t="shared" ref="H67:H130" si="2">E67*F67</f>
        <v>8224</v>
      </c>
      <c r="I67" s="7">
        <v>6573.8875418538519</v>
      </c>
      <c r="J67" s="7">
        <f t="shared" ref="J67:J130" si="3">H67-I67</f>
        <v>1650.1124581461481</v>
      </c>
      <c r="K67" s="1">
        <f>IF(B67="North",28.6,
IF(B67="South",13,
IF(B67="East",22.6,
IF(B67="West",19,
23.5))))</f>
        <v>13</v>
      </c>
      <c r="L67" s="1">
        <f>IF(B67="North",77.2,
IF(B67="South",80.2,
IF(B67="East",88.4,
IF(B67="West",72.8,
78.9))))</f>
        <v>80.2</v>
      </c>
    </row>
    <row r="68" spans="1:12" x14ac:dyDescent="0.25">
      <c r="A68" s="5">
        <v>45551</v>
      </c>
      <c r="B68" s="1" t="s">
        <v>13</v>
      </c>
      <c r="C68" s="1" t="s">
        <v>20</v>
      </c>
      <c r="D68" s="1" t="s">
        <v>25</v>
      </c>
      <c r="E68" s="10">
        <v>16</v>
      </c>
      <c r="F68" s="10">
        <v>1038</v>
      </c>
      <c r="G68" s="1" t="s">
        <v>33</v>
      </c>
      <c r="H68" s="10">
        <f t="shared" si="2"/>
        <v>16608</v>
      </c>
      <c r="I68" s="7">
        <v>13874.65077385382</v>
      </c>
      <c r="J68" s="7">
        <f t="shared" si="3"/>
        <v>2733.3492261461797</v>
      </c>
      <c r="K68" s="1">
        <f>IF(B68="North",28.6,
IF(B68="South",13,
IF(B68="East",22.6,
IF(B68="West",19,
23.5))))</f>
        <v>13</v>
      </c>
      <c r="L68" s="1">
        <f>IF(B68="North",77.2,
IF(B68="South",80.2,
IF(B68="East",88.4,
IF(B68="West",72.8,
78.9))))</f>
        <v>80.2</v>
      </c>
    </row>
    <row r="69" spans="1:12" x14ac:dyDescent="0.25">
      <c r="A69" s="5">
        <v>45601</v>
      </c>
      <c r="B69" s="1" t="s">
        <v>11</v>
      </c>
      <c r="C69" s="1" t="s">
        <v>17</v>
      </c>
      <c r="D69" s="1" t="s">
        <v>28</v>
      </c>
      <c r="E69" s="10">
        <v>3</v>
      </c>
      <c r="F69" s="10">
        <v>1736</v>
      </c>
      <c r="G69" s="1" t="s">
        <v>33</v>
      </c>
      <c r="H69" s="10">
        <f t="shared" si="2"/>
        <v>5208</v>
      </c>
      <c r="I69" s="7">
        <v>4658.9654389247162</v>
      </c>
      <c r="J69" s="7">
        <f t="shared" si="3"/>
        <v>549.03456107528382</v>
      </c>
      <c r="K69" s="1">
        <f>IF(B69="North",28.6,
IF(B69="South",13,
IF(B69="East",22.6,
IF(B69="West",19,
23.5))))</f>
        <v>19</v>
      </c>
      <c r="L69" s="1">
        <f>IF(B69="North",77.2,
IF(B69="South",80.2,
IF(B69="East",88.4,
IF(B69="West",72.8,
78.9))))</f>
        <v>72.8</v>
      </c>
    </row>
    <row r="70" spans="1:12" x14ac:dyDescent="0.25">
      <c r="A70" s="5">
        <v>45482</v>
      </c>
      <c r="B70" s="1" t="s">
        <v>12</v>
      </c>
      <c r="C70" s="1" t="s">
        <v>17</v>
      </c>
      <c r="D70" s="1" t="s">
        <v>32</v>
      </c>
      <c r="E70" s="10">
        <v>13</v>
      </c>
      <c r="F70" s="10">
        <v>776</v>
      </c>
      <c r="G70" s="1" t="s">
        <v>33</v>
      </c>
      <c r="H70" s="10">
        <f t="shared" si="2"/>
        <v>10088</v>
      </c>
      <c r="I70" s="7">
        <v>7186.674956845035</v>
      </c>
      <c r="J70" s="7">
        <f t="shared" si="3"/>
        <v>2901.325043154965</v>
      </c>
      <c r="K70" s="1">
        <f>IF(B70="North",28.6,
IF(B70="South",13,
IF(B70="East",22.6,
IF(B70="West",19,
23.5))))</f>
        <v>22.6</v>
      </c>
      <c r="L70" s="1">
        <f>IF(B70="North",77.2,
IF(B70="South",80.2,
IF(B70="East",88.4,
IF(B70="West",72.8,
78.9))))</f>
        <v>88.4</v>
      </c>
    </row>
    <row r="71" spans="1:12" x14ac:dyDescent="0.25">
      <c r="A71" s="5">
        <v>45509</v>
      </c>
      <c r="B71" s="1" t="s">
        <v>11</v>
      </c>
      <c r="C71" s="1" t="s">
        <v>22</v>
      </c>
      <c r="D71" s="1" t="s">
        <v>27</v>
      </c>
      <c r="E71" s="10">
        <v>14</v>
      </c>
      <c r="F71" s="10">
        <v>562</v>
      </c>
      <c r="G71" s="1" t="s">
        <v>35</v>
      </c>
      <c r="H71" s="10">
        <f t="shared" si="2"/>
        <v>7868</v>
      </c>
      <c r="I71" s="7">
        <v>5121.7884985948176</v>
      </c>
      <c r="J71" s="7">
        <f t="shared" si="3"/>
        <v>2746.2115014051824</v>
      </c>
      <c r="K71" s="1">
        <f>IF(B71="North",28.6,
IF(B71="South",13,
IF(B71="East",22.6,
IF(B71="West",19,
23.5))))</f>
        <v>19</v>
      </c>
      <c r="L71" s="1">
        <f>IF(B71="North",77.2,
IF(B71="South",80.2,
IF(B71="East",88.4,
IF(B71="West",72.8,
78.9))))</f>
        <v>72.8</v>
      </c>
    </row>
    <row r="72" spans="1:12" x14ac:dyDescent="0.25">
      <c r="A72" s="5">
        <v>45335</v>
      </c>
      <c r="B72" s="1" t="s">
        <v>13</v>
      </c>
      <c r="C72" s="1" t="s">
        <v>22</v>
      </c>
      <c r="D72" s="1" t="s">
        <v>29</v>
      </c>
      <c r="E72" s="10">
        <v>8</v>
      </c>
      <c r="F72" s="10">
        <v>640</v>
      </c>
      <c r="G72" s="1" t="s">
        <v>35</v>
      </c>
      <c r="H72" s="10">
        <f t="shared" si="2"/>
        <v>5120</v>
      </c>
      <c r="I72" s="7">
        <v>4382.1051829205317</v>
      </c>
      <c r="J72" s="7">
        <f t="shared" si="3"/>
        <v>737.89481707946834</v>
      </c>
      <c r="K72" s="1">
        <f>IF(B72="North",28.6,
IF(B72="South",13,
IF(B72="East",22.6,
IF(B72="West",19,
23.5))))</f>
        <v>13</v>
      </c>
      <c r="L72" s="1">
        <f>IF(B72="North",77.2,
IF(B72="South",80.2,
IF(B72="East",88.4,
IF(B72="West",72.8,
78.9))))</f>
        <v>80.2</v>
      </c>
    </row>
    <row r="73" spans="1:12" x14ac:dyDescent="0.25">
      <c r="A73" s="5">
        <v>45453</v>
      </c>
      <c r="B73" s="1" t="s">
        <v>10</v>
      </c>
      <c r="C73" s="1" t="s">
        <v>17</v>
      </c>
      <c r="D73" s="1" t="s">
        <v>31</v>
      </c>
      <c r="E73" s="10">
        <v>12</v>
      </c>
      <c r="F73" s="10">
        <v>1749</v>
      </c>
      <c r="G73" s="1" t="s">
        <v>33</v>
      </c>
      <c r="H73" s="10">
        <f t="shared" si="2"/>
        <v>20988</v>
      </c>
      <c r="I73" s="7">
        <v>14591.69760460802</v>
      </c>
      <c r="J73" s="7">
        <f t="shared" si="3"/>
        <v>6396.3023953919801</v>
      </c>
      <c r="K73" s="1">
        <f>IF(B73="North",28.6,
IF(B73="South",13,
IF(B73="East",22.6,
IF(B73="West",19,
23.5))))</f>
        <v>28.6</v>
      </c>
      <c r="L73" s="1">
        <f>IF(B73="North",77.2,
IF(B73="South",80.2,
IF(B73="East",88.4,
IF(B73="West",72.8,
78.9))))</f>
        <v>77.2</v>
      </c>
    </row>
    <row r="74" spans="1:12" x14ac:dyDescent="0.25">
      <c r="A74" s="5">
        <v>45493</v>
      </c>
      <c r="B74" s="1" t="s">
        <v>10</v>
      </c>
      <c r="C74" s="1" t="s">
        <v>19</v>
      </c>
      <c r="D74" s="1" t="s">
        <v>26</v>
      </c>
      <c r="E74" s="10">
        <v>8</v>
      </c>
      <c r="F74" s="10">
        <v>1742</v>
      </c>
      <c r="G74" s="1" t="s">
        <v>35</v>
      </c>
      <c r="H74" s="10">
        <f t="shared" si="2"/>
        <v>13936</v>
      </c>
      <c r="I74" s="7">
        <v>10862.56248593497</v>
      </c>
      <c r="J74" s="7">
        <f t="shared" si="3"/>
        <v>3073.43751406503</v>
      </c>
      <c r="K74" s="1">
        <f>IF(B74="North",28.6,
IF(B74="South",13,
IF(B74="East",22.6,
IF(B74="West",19,
23.5))))</f>
        <v>28.6</v>
      </c>
      <c r="L74" s="1">
        <f>IF(B74="North",77.2,
IF(B74="South",80.2,
IF(B74="East",88.4,
IF(B74="West",72.8,
78.9))))</f>
        <v>77.2</v>
      </c>
    </row>
    <row r="75" spans="1:12" x14ac:dyDescent="0.25">
      <c r="A75" s="5">
        <v>45561</v>
      </c>
      <c r="B75" s="1" t="s">
        <v>12</v>
      </c>
      <c r="C75" s="1" t="s">
        <v>17</v>
      </c>
      <c r="D75" s="1" t="s">
        <v>29</v>
      </c>
      <c r="E75" s="10">
        <v>9</v>
      </c>
      <c r="F75" s="10">
        <v>1487</v>
      </c>
      <c r="G75" s="1" t="s">
        <v>33</v>
      </c>
      <c r="H75" s="10">
        <f t="shared" si="2"/>
        <v>13383</v>
      </c>
      <c r="I75" s="7">
        <v>9595.1884888387722</v>
      </c>
      <c r="J75" s="7">
        <f t="shared" si="3"/>
        <v>3787.8115111612278</v>
      </c>
      <c r="K75" s="1">
        <f>IF(B75="North",28.6,
IF(B75="South",13,
IF(B75="East",22.6,
IF(B75="West",19,
23.5))))</f>
        <v>22.6</v>
      </c>
      <c r="L75" s="1">
        <f>IF(B75="North",77.2,
IF(B75="South",80.2,
IF(B75="East",88.4,
IF(B75="West",72.8,
78.9))))</f>
        <v>88.4</v>
      </c>
    </row>
    <row r="76" spans="1:12" x14ac:dyDescent="0.25">
      <c r="A76" s="5">
        <v>45642</v>
      </c>
      <c r="B76" s="1" t="s">
        <v>11</v>
      </c>
      <c r="C76" s="1" t="s">
        <v>21</v>
      </c>
      <c r="D76" s="1" t="s">
        <v>28</v>
      </c>
      <c r="E76" s="10">
        <v>1</v>
      </c>
      <c r="F76" s="10">
        <v>1253</v>
      </c>
      <c r="G76" s="1" t="s">
        <v>35</v>
      </c>
      <c r="H76" s="10">
        <f t="shared" si="2"/>
        <v>1253</v>
      </c>
      <c r="I76" s="7">
        <v>903.03443991558072</v>
      </c>
      <c r="J76" s="7">
        <f t="shared" si="3"/>
        <v>349.96556008441928</v>
      </c>
      <c r="K76" s="1">
        <f>IF(B76="North",28.6,
IF(B76="South",13,
IF(B76="East",22.6,
IF(B76="West",19,
23.5))))</f>
        <v>19</v>
      </c>
      <c r="L76" s="1">
        <f>IF(B76="North",77.2,
IF(B76="South",80.2,
IF(B76="East",88.4,
IF(B76="West",72.8,
78.9))))</f>
        <v>72.8</v>
      </c>
    </row>
    <row r="77" spans="1:12" x14ac:dyDescent="0.25">
      <c r="A77" s="5">
        <v>45595</v>
      </c>
      <c r="B77" s="1" t="s">
        <v>10</v>
      </c>
      <c r="C77" s="1" t="s">
        <v>17</v>
      </c>
      <c r="D77" s="1" t="s">
        <v>26</v>
      </c>
      <c r="E77" s="10">
        <v>6</v>
      </c>
      <c r="F77" s="10">
        <v>183</v>
      </c>
      <c r="G77" s="1" t="s">
        <v>33</v>
      </c>
      <c r="H77" s="10">
        <f t="shared" si="2"/>
        <v>1098</v>
      </c>
      <c r="I77" s="7">
        <v>900.07379944105253</v>
      </c>
      <c r="J77" s="7">
        <f t="shared" si="3"/>
        <v>197.92620055894747</v>
      </c>
      <c r="K77" s="1">
        <f>IF(B77="North",28.6,
IF(B77="South",13,
IF(B77="East",22.6,
IF(B77="West",19,
23.5))))</f>
        <v>28.6</v>
      </c>
      <c r="L77" s="1">
        <f>IF(B77="North",77.2,
IF(B77="South",80.2,
IF(B77="East",88.4,
IF(B77="West",72.8,
78.9))))</f>
        <v>77.2</v>
      </c>
    </row>
    <row r="78" spans="1:12" x14ac:dyDescent="0.25">
      <c r="A78" s="5">
        <v>45562</v>
      </c>
      <c r="B78" s="1" t="s">
        <v>11</v>
      </c>
      <c r="C78" s="1" t="s">
        <v>24</v>
      </c>
      <c r="D78" s="1" t="s">
        <v>28</v>
      </c>
      <c r="E78" s="10">
        <v>19</v>
      </c>
      <c r="F78" s="10">
        <v>370</v>
      </c>
      <c r="G78" s="1" t="s">
        <v>35</v>
      </c>
      <c r="H78" s="10">
        <f t="shared" si="2"/>
        <v>7030</v>
      </c>
      <c r="I78" s="7">
        <v>4980.351039341931</v>
      </c>
      <c r="J78" s="7">
        <f t="shared" si="3"/>
        <v>2049.648960658069</v>
      </c>
      <c r="K78" s="1">
        <f>IF(B78="North",28.6,
IF(B78="South",13,
IF(B78="East",22.6,
IF(B78="West",19,
23.5))))</f>
        <v>19</v>
      </c>
      <c r="L78" s="1">
        <f>IF(B78="North",77.2,
IF(B78="South",80.2,
IF(B78="East",88.4,
IF(B78="West",72.8,
78.9))))</f>
        <v>72.8</v>
      </c>
    </row>
    <row r="79" spans="1:12" x14ac:dyDescent="0.25">
      <c r="A79" s="5">
        <v>45506</v>
      </c>
      <c r="B79" s="1" t="s">
        <v>13</v>
      </c>
      <c r="C79" s="1" t="s">
        <v>23</v>
      </c>
      <c r="D79" s="1" t="s">
        <v>26</v>
      </c>
      <c r="E79" s="10">
        <v>11</v>
      </c>
      <c r="F79" s="10">
        <v>343</v>
      </c>
      <c r="G79" s="1" t="s">
        <v>34</v>
      </c>
      <c r="H79" s="10">
        <f t="shared" si="2"/>
        <v>3773</v>
      </c>
      <c r="I79" s="7">
        <v>3048.2917203712941</v>
      </c>
      <c r="J79" s="7">
        <f t="shared" si="3"/>
        <v>724.7082796287059</v>
      </c>
      <c r="K79" s="1">
        <f>IF(B79="North",28.6,
IF(B79="South",13,
IF(B79="East",22.6,
IF(B79="West",19,
23.5))))</f>
        <v>13</v>
      </c>
      <c r="L79" s="1">
        <f>IF(B79="North",77.2,
IF(B79="South",80.2,
IF(B79="East",88.4,
IF(B79="West",72.8,
78.9))))</f>
        <v>80.2</v>
      </c>
    </row>
    <row r="80" spans="1:12" x14ac:dyDescent="0.25">
      <c r="A80" s="5">
        <v>45543</v>
      </c>
      <c r="B80" s="1" t="s">
        <v>10</v>
      </c>
      <c r="C80" s="1" t="s">
        <v>24</v>
      </c>
      <c r="D80" s="1" t="s">
        <v>31</v>
      </c>
      <c r="E80" s="10">
        <v>11</v>
      </c>
      <c r="F80" s="10">
        <v>487</v>
      </c>
      <c r="G80" s="1" t="s">
        <v>35</v>
      </c>
      <c r="H80" s="10">
        <f t="shared" si="2"/>
        <v>5357</v>
      </c>
      <c r="I80" s="7">
        <v>3237.227260757395</v>
      </c>
      <c r="J80" s="7">
        <f t="shared" si="3"/>
        <v>2119.772739242605</v>
      </c>
      <c r="K80" s="1">
        <f>IF(B80="North",28.6,
IF(B80="South",13,
IF(B80="East",22.6,
IF(B80="West",19,
23.5))))</f>
        <v>28.6</v>
      </c>
      <c r="L80" s="1">
        <f>IF(B80="North",77.2,
IF(B80="South",80.2,
IF(B80="East",88.4,
IF(B80="West",72.8,
78.9))))</f>
        <v>77.2</v>
      </c>
    </row>
    <row r="81" spans="1:12" x14ac:dyDescent="0.25">
      <c r="A81" s="5">
        <v>45481</v>
      </c>
      <c r="B81" s="1" t="s">
        <v>12</v>
      </c>
      <c r="C81" s="1" t="s">
        <v>24</v>
      </c>
      <c r="D81" s="1" t="s">
        <v>27</v>
      </c>
      <c r="E81" s="10">
        <v>13</v>
      </c>
      <c r="F81" s="10">
        <v>313</v>
      </c>
      <c r="G81" s="1" t="s">
        <v>35</v>
      </c>
      <c r="H81" s="10">
        <f t="shared" si="2"/>
        <v>4069</v>
      </c>
      <c r="I81" s="7">
        <v>2837.6970689777309</v>
      </c>
      <c r="J81" s="7">
        <f t="shared" si="3"/>
        <v>1231.3029310222691</v>
      </c>
      <c r="K81" s="1">
        <f>IF(B81="North",28.6,
IF(B81="South",13,
IF(B81="East",22.6,
IF(B81="West",19,
23.5))))</f>
        <v>22.6</v>
      </c>
      <c r="L81" s="1">
        <f>IF(B81="North",77.2,
IF(B81="South",80.2,
IF(B81="East",88.4,
IF(B81="West",72.8,
78.9))))</f>
        <v>88.4</v>
      </c>
    </row>
    <row r="82" spans="1:12" x14ac:dyDescent="0.25">
      <c r="A82" s="5">
        <v>45587</v>
      </c>
      <c r="B82" s="1" t="s">
        <v>13</v>
      </c>
      <c r="C82" s="1" t="s">
        <v>19</v>
      </c>
      <c r="D82" s="1" t="s">
        <v>31</v>
      </c>
      <c r="E82" s="10">
        <v>11</v>
      </c>
      <c r="F82" s="10">
        <v>917</v>
      </c>
      <c r="G82" s="1" t="s">
        <v>35</v>
      </c>
      <c r="H82" s="10">
        <f t="shared" si="2"/>
        <v>10087</v>
      </c>
      <c r="I82" s="7">
        <v>7017.6591432793184</v>
      </c>
      <c r="J82" s="7">
        <f t="shared" si="3"/>
        <v>3069.3408567206816</v>
      </c>
      <c r="K82" s="1">
        <f>IF(B82="North",28.6,
IF(B82="South",13,
IF(B82="East",22.6,
IF(B82="West",19,
23.5))))</f>
        <v>13</v>
      </c>
      <c r="L82" s="1">
        <f>IF(B82="North",77.2,
IF(B82="South",80.2,
IF(B82="East",88.4,
IF(B82="West",72.8,
78.9))))</f>
        <v>80.2</v>
      </c>
    </row>
    <row r="83" spans="1:12" x14ac:dyDescent="0.25">
      <c r="A83" s="5">
        <v>45504</v>
      </c>
      <c r="B83" s="1" t="s">
        <v>12</v>
      </c>
      <c r="C83" s="1" t="s">
        <v>19</v>
      </c>
      <c r="D83" s="1" t="s">
        <v>32</v>
      </c>
      <c r="E83" s="10">
        <v>18</v>
      </c>
      <c r="F83" s="10">
        <v>1289</v>
      </c>
      <c r="G83" s="1" t="s">
        <v>35</v>
      </c>
      <c r="H83" s="10">
        <f t="shared" si="2"/>
        <v>23202</v>
      </c>
      <c r="I83" s="7">
        <v>19133.54289101269</v>
      </c>
      <c r="J83" s="7">
        <f t="shared" si="3"/>
        <v>4068.4571089873098</v>
      </c>
      <c r="K83" s="1">
        <f>IF(B83="North",28.6,
IF(B83="South",13,
IF(B83="East",22.6,
IF(B83="West",19,
23.5))))</f>
        <v>22.6</v>
      </c>
      <c r="L83" s="1">
        <f>IF(B83="North",77.2,
IF(B83="South",80.2,
IF(B83="East",88.4,
IF(B83="West",72.8,
78.9))))</f>
        <v>88.4</v>
      </c>
    </row>
    <row r="84" spans="1:12" x14ac:dyDescent="0.25">
      <c r="A84" s="5">
        <v>45499</v>
      </c>
      <c r="B84" s="1" t="s">
        <v>13</v>
      </c>
      <c r="C84" s="1" t="s">
        <v>18</v>
      </c>
      <c r="D84" s="1" t="s">
        <v>30</v>
      </c>
      <c r="E84" s="10">
        <v>15</v>
      </c>
      <c r="F84" s="10">
        <v>1914</v>
      </c>
      <c r="G84" s="1" t="s">
        <v>34</v>
      </c>
      <c r="H84" s="10">
        <f t="shared" si="2"/>
        <v>28710</v>
      </c>
      <c r="I84" s="7">
        <v>19935.28044032873</v>
      </c>
      <c r="J84" s="7">
        <f t="shared" si="3"/>
        <v>8774.71955967127</v>
      </c>
      <c r="K84" s="1">
        <f>IF(B84="North",28.6,
IF(B84="South",13,
IF(B84="East",22.6,
IF(B84="West",19,
23.5))))</f>
        <v>13</v>
      </c>
      <c r="L84" s="1">
        <f>IF(B84="North",77.2,
IF(B84="South",80.2,
IF(B84="East",88.4,
IF(B84="West",72.8,
78.9))))</f>
        <v>80.2</v>
      </c>
    </row>
    <row r="85" spans="1:12" x14ac:dyDescent="0.25">
      <c r="A85" s="5">
        <v>45528</v>
      </c>
      <c r="B85" s="1" t="s">
        <v>10</v>
      </c>
      <c r="C85" s="1" t="s">
        <v>17</v>
      </c>
      <c r="D85" s="1" t="s">
        <v>27</v>
      </c>
      <c r="E85" s="10">
        <v>1</v>
      </c>
      <c r="F85" s="10">
        <v>158</v>
      </c>
      <c r="G85" s="1" t="s">
        <v>33</v>
      </c>
      <c r="H85" s="10">
        <f t="shared" si="2"/>
        <v>158</v>
      </c>
      <c r="I85" s="7">
        <v>124.8197060741049</v>
      </c>
      <c r="J85" s="7">
        <f t="shared" si="3"/>
        <v>33.1802939258951</v>
      </c>
      <c r="K85" s="1">
        <f>IF(B85="North",28.6,
IF(B85="South",13,
IF(B85="East",22.6,
IF(B85="West",19,
23.5))))</f>
        <v>28.6</v>
      </c>
      <c r="L85" s="1">
        <f>IF(B85="North",77.2,
IF(B85="South",80.2,
IF(B85="East",88.4,
IF(B85="West",72.8,
78.9))))</f>
        <v>77.2</v>
      </c>
    </row>
    <row r="86" spans="1:12" x14ac:dyDescent="0.25">
      <c r="A86" s="5">
        <v>45629</v>
      </c>
      <c r="B86" s="1" t="s">
        <v>12</v>
      </c>
      <c r="C86" s="1" t="s">
        <v>24</v>
      </c>
      <c r="D86" s="1" t="s">
        <v>31</v>
      </c>
      <c r="E86" s="10">
        <v>7</v>
      </c>
      <c r="F86" s="10">
        <v>1725</v>
      </c>
      <c r="G86" s="1" t="s">
        <v>35</v>
      </c>
      <c r="H86" s="10">
        <f t="shared" si="2"/>
        <v>12075</v>
      </c>
      <c r="I86" s="7">
        <v>9739.1796466357409</v>
      </c>
      <c r="J86" s="7">
        <f t="shared" si="3"/>
        <v>2335.8203533642591</v>
      </c>
      <c r="K86" s="1">
        <f>IF(B86="North",28.6,
IF(B86="South",13,
IF(B86="East",22.6,
IF(B86="West",19,
23.5))))</f>
        <v>22.6</v>
      </c>
      <c r="L86" s="1">
        <f>IF(B86="North",77.2,
IF(B86="South",80.2,
IF(B86="East",88.4,
IF(B86="West",72.8,
78.9))))</f>
        <v>88.4</v>
      </c>
    </row>
    <row r="87" spans="1:12" x14ac:dyDescent="0.25">
      <c r="A87" s="5">
        <v>45344</v>
      </c>
      <c r="B87" s="1" t="s">
        <v>12</v>
      </c>
      <c r="C87" s="1" t="s">
        <v>19</v>
      </c>
      <c r="D87" s="1" t="s">
        <v>32</v>
      </c>
      <c r="E87" s="10">
        <v>13</v>
      </c>
      <c r="F87" s="10">
        <v>982</v>
      </c>
      <c r="G87" s="1" t="s">
        <v>35</v>
      </c>
      <c r="H87" s="10">
        <f t="shared" si="2"/>
        <v>12766</v>
      </c>
      <c r="I87" s="7">
        <v>10181.238149166111</v>
      </c>
      <c r="J87" s="7">
        <f t="shared" si="3"/>
        <v>2584.7618508338892</v>
      </c>
      <c r="K87" s="1">
        <f>IF(B87="North",28.6,
IF(B87="South",13,
IF(B87="East",22.6,
IF(B87="West",19,
23.5))))</f>
        <v>22.6</v>
      </c>
      <c r="L87" s="1">
        <f>IF(B87="North",77.2,
IF(B87="South",80.2,
IF(B87="East",88.4,
IF(B87="West",72.8,
78.9))))</f>
        <v>88.4</v>
      </c>
    </row>
    <row r="88" spans="1:12" x14ac:dyDescent="0.25">
      <c r="A88" s="5">
        <v>45571</v>
      </c>
      <c r="B88" s="1" t="s">
        <v>13</v>
      </c>
      <c r="C88" s="1" t="s">
        <v>22</v>
      </c>
      <c r="D88" s="1" t="s">
        <v>30</v>
      </c>
      <c r="E88" s="10">
        <v>12</v>
      </c>
      <c r="F88" s="10">
        <v>942</v>
      </c>
      <c r="G88" s="1" t="s">
        <v>35</v>
      </c>
      <c r="H88" s="10">
        <f t="shared" si="2"/>
        <v>11304</v>
      </c>
      <c r="I88" s="7">
        <v>8828.2895311722314</v>
      </c>
      <c r="J88" s="7">
        <f t="shared" si="3"/>
        <v>2475.7104688277686</v>
      </c>
      <c r="K88" s="1">
        <f>IF(B88="North",28.6,
IF(B88="South",13,
IF(B88="East",22.6,
IF(B88="West",19,
23.5))))</f>
        <v>13</v>
      </c>
      <c r="L88" s="1">
        <f>IF(B88="North",77.2,
IF(B88="South",80.2,
IF(B88="East",88.4,
IF(B88="West",72.8,
78.9))))</f>
        <v>80.2</v>
      </c>
    </row>
    <row r="89" spans="1:12" x14ac:dyDescent="0.25">
      <c r="A89" s="5">
        <v>45508</v>
      </c>
      <c r="B89" s="1" t="s">
        <v>12</v>
      </c>
      <c r="C89" s="1" t="s">
        <v>17</v>
      </c>
      <c r="D89" s="1" t="s">
        <v>32</v>
      </c>
      <c r="E89" s="10">
        <v>18</v>
      </c>
      <c r="F89" s="10">
        <v>1023</v>
      </c>
      <c r="G89" s="1" t="s">
        <v>33</v>
      </c>
      <c r="H89" s="10">
        <f t="shared" si="2"/>
        <v>18414</v>
      </c>
      <c r="I89" s="7">
        <v>13333.302199175931</v>
      </c>
      <c r="J89" s="7">
        <f t="shared" si="3"/>
        <v>5080.6978008240694</v>
      </c>
      <c r="K89" s="1">
        <f>IF(B89="North",28.6,
IF(B89="South",13,
IF(B89="East",22.6,
IF(B89="West",19,
23.5))))</f>
        <v>22.6</v>
      </c>
      <c r="L89" s="1">
        <f>IF(B89="North",77.2,
IF(B89="South",80.2,
IF(B89="East",88.4,
IF(B89="West",72.8,
78.9))))</f>
        <v>88.4</v>
      </c>
    </row>
    <row r="90" spans="1:12" x14ac:dyDescent="0.25">
      <c r="A90" s="5">
        <v>45543</v>
      </c>
      <c r="B90" s="1" t="s">
        <v>13</v>
      </c>
      <c r="C90" s="1" t="s">
        <v>21</v>
      </c>
      <c r="D90" s="1" t="s">
        <v>28</v>
      </c>
      <c r="E90" s="10">
        <v>19</v>
      </c>
      <c r="F90" s="10">
        <v>1627</v>
      </c>
      <c r="G90" s="1" t="s">
        <v>35</v>
      </c>
      <c r="H90" s="10">
        <f t="shared" si="2"/>
        <v>30913</v>
      </c>
      <c r="I90" s="7">
        <v>22009.793032541889</v>
      </c>
      <c r="J90" s="7">
        <f t="shared" si="3"/>
        <v>8903.2069674581107</v>
      </c>
      <c r="K90" s="1">
        <f>IF(B90="North",28.6,
IF(B90="South",13,
IF(B90="East",22.6,
IF(B90="West",19,
23.5))))</f>
        <v>13</v>
      </c>
      <c r="L90" s="1">
        <f>IF(B90="North",77.2,
IF(B90="South",80.2,
IF(B90="East",88.4,
IF(B90="West",72.8,
78.9))))</f>
        <v>80.2</v>
      </c>
    </row>
    <row r="91" spans="1:12" x14ac:dyDescent="0.25">
      <c r="A91" s="5">
        <v>45479</v>
      </c>
      <c r="B91" s="1" t="s">
        <v>13</v>
      </c>
      <c r="C91" s="1" t="s">
        <v>23</v>
      </c>
      <c r="D91" s="1" t="s">
        <v>25</v>
      </c>
      <c r="E91" s="10">
        <v>15</v>
      </c>
      <c r="F91" s="10">
        <v>1829</v>
      </c>
      <c r="G91" s="1" t="s">
        <v>34</v>
      </c>
      <c r="H91" s="10">
        <f t="shared" si="2"/>
        <v>27435</v>
      </c>
      <c r="I91" s="7">
        <v>21107.809092462761</v>
      </c>
      <c r="J91" s="7">
        <f t="shared" si="3"/>
        <v>6327.1909075372387</v>
      </c>
      <c r="K91" s="1">
        <f>IF(B91="North",28.6,
IF(B91="South",13,
IF(B91="East",22.6,
IF(B91="West",19,
23.5))))</f>
        <v>13</v>
      </c>
      <c r="L91" s="1">
        <f>IF(B91="North",77.2,
IF(B91="South",80.2,
IF(B91="East",88.4,
IF(B91="West",72.8,
78.9))))</f>
        <v>80.2</v>
      </c>
    </row>
    <row r="92" spans="1:12" x14ac:dyDescent="0.25">
      <c r="A92" s="5">
        <v>45332</v>
      </c>
      <c r="B92" s="1" t="s">
        <v>13</v>
      </c>
      <c r="C92" s="1" t="s">
        <v>20</v>
      </c>
      <c r="D92" s="1" t="s">
        <v>28</v>
      </c>
      <c r="E92" s="10">
        <v>8</v>
      </c>
      <c r="F92" s="10">
        <v>222</v>
      </c>
      <c r="G92" s="1" t="s">
        <v>33</v>
      </c>
      <c r="H92" s="10">
        <f t="shared" si="2"/>
        <v>1776</v>
      </c>
      <c r="I92" s="7">
        <v>1099.5410130036489</v>
      </c>
      <c r="J92" s="7">
        <f t="shared" si="3"/>
        <v>676.45898699635109</v>
      </c>
      <c r="K92" s="1">
        <f>IF(B92="North",28.6,
IF(B92="South",13,
IF(B92="East",22.6,
IF(B92="West",19,
23.5))))</f>
        <v>13</v>
      </c>
      <c r="L92" s="1">
        <f>IF(B92="North",77.2,
IF(B92="South",80.2,
IF(B92="East",88.4,
IF(B92="West",72.8,
78.9))))</f>
        <v>80.2</v>
      </c>
    </row>
    <row r="93" spans="1:12" x14ac:dyDescent="0.25">
      <c r="A93" s="5">
        <v>45448</v>
      </c>
      <c r="B93" s="1" t="s">
        <v>13</v>
      </c>
      <c r="C93" s="1" t="s">
        <v>17</v>
      </c>
      <c r="D93" s="1" t="s">
        <v>26</v>
      </c>
      <c r="E93" s="10">
        <v>19</v>
      </c>
      <c r="F93" s="10">
        <v>1771</v>
      </c>
      <c r="G93" s="1" t="s">
        <v>33</v>
      </c>
      <c r="H93" s="10">
        <f t="shared" si="2"/>
        <v>33649</v>
      </c>
      <c r="I93" s="7">
        <v>29030.538559557539</v>
      </c>
      <c r="J93" s="7">
        <f t="shared" si="3"/>
        <v>4618.461440442461</v>
      </c>
      <c r="K93" s="1">
        <f>IF(B93="North",28.6,
IF(B93="South",13,
IF(B93="East",22.6,
IF(B93="West",19,
23.5))))</f>
        <v>13</v>
      </c>
      <c r="L93" s="1">
        <f>IF(B93="North",77.2,
IF(B93="South",80.2,
IF(B93="East",88.4,
IF(B93="West",72.8,
78.9))))</f>
        <v>80.2</v>
      </c>
    </row>
    <row r="94" spans="1:12" x14ac:dyDescent="0.25">
      <c r="A94" s="5">
        <v>45306</v>
      </c>
      <c r="B94" s="1" t="s">
        <v>10</v>
      </c>
      <c r="C94" s="1" t="s">
        <v>20</v>
      </c>
      <c r="D94" s="1" t="s">
        <v>27</v>
      </c>
      <c r="E94" s="10">
        <v>10</v>
      </c>
      <c r="F94" s="10">
        <v>1536</v>
      </c>
      <c r="G94" s="1" t="s">
        <v>33</v>
      </c>
      <c r="H94" s="10">
        <f t="shared" si="2"/>
        <v>15360</v>
      </c>
      <c r="I94" s="7">
        <v>13019.052179083819</v>
      </c>
      <c r="J94" s="7">
        <f t="shared" si="3"/>
        <v>2340.9478209161807</v>
      </c>
      <c r="K94" s="1">
        <f>IF(B94="North",28.6,
IF(B94="South",13,
IF(B94="East",22.6,
IF(B94="West",19,
23.5))))</f>
        <v>28.6</v>
      </c>
      <c r="L94" s="1">
        <f>IF(B94="North",77.2,
IF(B94="South",80.2,
IF(B94="East",88.4,
IF(B94="West",72.8,
78.9))))</f>
        <v>77.2</v>
      </c>
    </row>
    <row r="95" spans="1:12" x14ac:dyDescent="0.25">
      <c r="A95" s="5">
        <v>45592</v>
      </c>
      <c r="B95" s="1" t="s">
        <v>13</v>
      </c>
      <c r="C95" s="1" t="s">
        <v>24</v>
      </c>
      <c r="D95" s="1" t="s">
        <v>28</v>
      </c>
      <c r="E95" s="10">
        <v>7</v>
      </c>
      <c r="F95" s="10">
        <v>1262</v>
      </c>
      <c r="G95" s="1" t="s">
        <v>35</v>
      </c>
      <c r="H95" s="10">
        <f t="shared" si="2"/>
        <v>8834</v>
      </c>
      <c r="I95" s="7">
        <v>6218.38877709196</v>
      </c>
      <c r="J95" s="7">
        <f t="shared" si="3"/>
        <v>2615.61122290804</v>
      </c>
      <c r="K95" s="1">
        <f>IF(B95="North",28.6,
IF(B95="South",13,
IF(B95="East",22.6,
IF(B95="West",19,
23.5))))</f>
        <v>13</v>
      </c>
      <c r="L95" s="1">
        <f>IF(B95="North",77.2,
IF(B95="South",80.2,
IF(B95="East",88.4,
IF(B95="West",72.8,
78.9))))</f>
        <v>80.2</v>
      </c>
    </row>
    <row r="96" spans="1:12" x14ac:dyDescent="0.25">
      <c r="A96" s="5">
        <v>45356</v>
      </c>
      <c r="B96" s="1" t="s">
        <v>11</v>
      </c>
      <c r="C96" s="1" t="s">
        <v>23</v>
      </c>
      <c r="D96" s="1" t="s">
        <v>29</v>
      </c>
      <c r="E96" s="10">
        <v>18</v>
      </c>
      <c r="F96" s="10">
        <v>1352</v>
      </c>
      <c r="G96" s="1" t="s">
        <v>34</v>
      </c>
      <c r="H96" s="10">
        <f t="shared" si="2"/>
        <v>24336</v>
      </c>
      <c r="I96" s="7">
        <v>18739.83305601382</v>
      </c>
      <c r="J96" s="7">
        <f t="shared" si="3"/>
        <v>5596.1669439861798</v>
      </c>
      <c r="K96" s="1">
        <f>IF(B96="North",28.6,
IF(B96="South",13,
IF(B96="East",22.6,
IF(B96="West",19,
23.5))))</f>
        <v>19</v>
      </c>
      <c r="L96" s="1">
        <f>IF(B96="North",77.2,
IF(B96="South",80.2,
IF(B96="East",88.4,
IF(B96="West",72.8,
78.9))))</f>
        <v>72.8</v>
      </c>
    </row>
    <row r="97" spans="1:12" x14ac:dyDescent="0.25">
      <c r="A97" s="5">
        <v>45636</v>
      </c>
      <c r="B97" s="1" t="s">
        <v>12</v>
      </c>
      <c r="C97" s="1" t="s">
        <v>20</v>
      </c>
      <c r="D97" s="1" t="s">
        <v>32</v>
      </c>
      <c r="E97" s="10">
        <v>16</v>
      </c>
      <c r="F97" s="10">
        <v>1397</v>
      </c>
      <c r="G97" s="1" t="s">
        <v>33</v>
      </c>
      <c r="H97" s="10">
        <f t="shared" si="2"/>
        <v>22352</v>
      </c>
      <c r="I97" s="7">
        <v>19662.346052945741</v>
      </c>
      <c r="J97" s="7">
        <f t="shared" si="3"/>
        <v>2689.6539470542593</v>
      </c>
      <c r="K97" s="1">
        <f>IF(B97="North",28.6,
IF(B97="South",13,
IF(B97="East",22.6,
IF(B97="West",19,
23.5))))</f>
        <v>22.6</v>
      </c>
      <c r="L97" s="1">
        <f>IF(B97="North",77.2,
IF(B97="South",80.2,
IF(B97="East",88.4,
IF(B97="West",72.8,
78.9))))</f>
        <v>88.4</v>
      </c>
    </row>
    <row r="98" spans="1:12" x14ac:dyDescent="0.25">
      <c r="A98" s="5">
        <v>45618</v>
      </c>
      <c r="B98" s="1" t="s">
        <v>11</v>
      </c>
      <c r="C98" s="1" t="s">
        <v>24</v>
      </c>
      <c r="D98" s="1" t="s">
        <v>27</v>
      </c>
      <c r="E98" s="10">
        <v>6</v>
      </c>
      <c r="F98" s="10">
        <v>538</v>
      </c>
      <c r="G98" s="1" t="s">
        <v>35</v>
      </c>
      <c r="H98" s="10">
        <f t="shared" si="2"/>
        <v>3228</v>
      </c>
      <c r="I98" s="7">
        <v>2199.853074613874</v>
      </c>
      <c r="J98" s="7">
        <f t="shared" si="3"/>
        <v>1028.146925386126</v>
      </c>
      <c r="K98" s="1">
        <f>IF(B98="North",28.6,
IF(B98="South",13,
IF(B98="East",22.6,
IF(B98="West",19,
23.5))))</f>
        <v>19</v>
      </c>
      <c r="L98" s="1">
        <f>IF(B98="North",77.2,
IF(B98="South",80.2,
IF(B98="East",88.4,
IF(B98="West",72.8,
78.9))))</f>
        <v>72.8</v>
      </c>
    </row>
    <row r="99" spans="1:12" x14ac:dyDescent="0.25">
      <c r="A99" s="5">
        <v>45300</v>
      </c>
      <c r="B99" s="1" t="s">
        <v>10</v>
      </c>
      <c r="C99" s="1" t="s">
        <v>22</v>
      </c>
      <c r="D99" s="1" t="s">
        <v>25</v>
      </c>
      <c r="E99" s="10">
        <v>9</v>
      </c>
      <c r="F99" s="10">
        <v>1121</v>
      </c>
      <c r="G99" s="1" t="s">
        <v>35</v>
      </c>
      <c r="H99" s="10">
        <f t="shared" si="2"/>
        <v>10089</v>
      </c>
      <c r="I99" s="7">
        <v>8300.5893587320134</v>
      </c>
      <c r="J99" s="7">
        <f t="shared" si="3"/>
        <v>1788.4106412679866</v>
      </c>
      <c r="K99" s="1">
        <f>IF(B99="North",28.6,
IF(B99="South",13,
IF(B99="East",22.6,
IF(B99="West",19,
23.5))))</f>
        <v>28.6</v>
      </c>
      <c r="L99" s="1">
        <f>IF(B99="North",77.2,
IF(B99="South",80.2,
IF(B99="East",88.4,
IF(B99="West",72.8,
78.9))))</f>
        <v>77.2</v>
      </c>
    </row>
    <row r="100" spans="1:12" x14ac:dyDescent="0.25">
      <c r="A100" s="5">
        <v>45635</v>
      </c>
      <c r="B100" s="1" t="s">
        <v>11</v>
      </c>
      <c r="C100" s="1" t="s">
        <v>20</v>
      </c>
      <c r="D100" s="1" t="s">
        <v>29</v>
      </c>
      <c r="E100" s="10">
        <v>13</v>
      </c>
      <c r="F100" s="10">
        <v>661</v>
      </c>
      <c r="G100" s="1" t="s">
        <v>33</v>
      </c>
      <c r="H100" s="10">
        <f t="shared" si="2"/>
        <v>8593</v>
      </c>
      <c r="I100" s="7">
        <v>5369.0743260928193</v>
      </c>
      <c r="J100" s="7">
        <f t="shared" si="3"/>
        <v>3223.9256739071807</v>
      </c>
      <c r="K100" s="1">
        <f>IF(B100="North",28.6,
IF(B100="South",13,
IF(B100="East",22.6,
IF(B100="West",19,
23.5))))</f>
        <v>19</v>
      </c>
      <c r="L100" s="1">
        <f>IF(B100="North",77.2,
IF(B100="South",80.2,
IF(B100="East",88.4,
IF(B100="West",72.8,
78.9))))</f>
        <v>72.8</v>
      </c>
    </row>
    <row r="101" spans="1:12" x14ac:dyDescent="0.25">
      <c r="A101" s="5">
        <v>45420</v>
      </c>
      <c r="B101" s="1" t="s">
        <v>12</v>
      </c>
      <c r="C101" s="1" t="s">
        <v>23</v>
      </c>
      <c r="D101" s="1" t="s">
        <v>28</v>
      </c>
      <c r="E101" s="10">
        <v>8</v>
      </c>
      <c r="F101" s="10">
        <v>217</v>
      </c>
      <c r="G101" s="1" t="s">
        <v>34</v>
      </c>
      <c r="H101" s="10">
        <f t="shared" si="2"/>
        <v>1736</v>
      </c>
      <c r="I101" s="7">
        <v>1314.172214402882</v>
      </c>
      <c r="J101" s="7">
        <f t="shared" si="3"/>
        <v>421.82778559711801</v>
      </c>
      <c r="K101" s="1">
        <f>IF(B101="North",28.6,
IF(B101="South",13,
IF(B101="East",22.6,
IF(B101="West",19,
23.5))))</f>
        <v>22.6</v>
      </c>
      <c r="L101" s="1">
        <f>IF(B101="North",77.2,
IF(B101="South",80.2,
IF(B101="East",88.4,
IF(B101="West",72.8,
78.9))))</f>
        <v>88.4</v>
      </c>
    </row>
    <row r="102" spans="1:12" x14ac:dyDescent="0.25">
      <c r="A102" s="5">
        <v>45427</v>
      </c>
      <c r="B102" s="1" t="s">
        <v>11</v>
      </c>
      <c r="C102" s="1" t="s">
        <v>18</v>
      </c>
      <c r="D102" s="1" t="s">
        <v>36</v>
      </c>
      <c r="E102" s="10">
        <v>16</v>
      </c>
      <c r="F102" s="10">
        <v>1837</v>
      </c>
      <c r="G102" s="1" t="s">
        <v>34</v>
      </c>
      <c r="H102" s="10">
        <f t="shared" si="2"/>
        <v>29392</v>
      </c>
      <c r="I102" s="7">
        <v>25429.686195814491</v>
      </c>
      <c r="J102" s="7">
        <f t="shared" si="3"/>
        <v>3962.3138041855091</v>
      </c>
      <c r="K102" s="1">
        <f>IF(B102="North",28.6,
IF(B102="South",13,
IF(B102="East",22.6,
IF(B102="West",19,
23.5))))</f>
        <v>19</v>
      </c>
      <c r="L102" s="1">
        <f>IF(B102="North",77.2,
IF(B102="South",80.2,
IF(B102="East",88.4,
IF(B102="West",72.8,
78.9))))</f>
        <v>72.8</v>
      </c>
    </row>
    <row r="103" spans="1:12" x14ac:dyDescent="0.25">
      <c r="A103" s="5">
        <v>45354</v>
      </c>
      <c r="B103" s="1" t="s">
        <v>10</v>
      </c>
      <c r="C103" s="1" t="s">
        <v>17</v>
      </c>
      <c r="D103" s="1" t="s">
        <v>31</v>
      </c>
      <c r="E103" s="10">
        <v>13</v>
      </c>
      <c r="F103" s="10">
        <v>1004</v>
      </c>
      <c r="G103" s="1" t="s">
        <v>33</v>
      </c>
      <c r="H103" s="10">
        <f t="shared" si="2"/>
        <v>13052</v>
      </c>
      <c r="I103" s="7">
        <v>9991.4728730141123</v>
      </c>
      <c r="J103" s="7">
        <f t="shared" si="3"/>
        <v>3060.5271269858877</v>
      </c>
      <c r="K103" s="1">
        <f>IF(B103="North",28.6,
IF(B103="South",13,
IF(B103="East",22.6,
IF(B103="West",19,
23.5))))</f>
        <v>28.6</v>
      </c>
      <c r="L103" s="1">
        <f>IF(B103="North",77.2,
IF(B103="South",80.2,
IF(B103="East",88.4,
IF(B103="West",72.8,
78.9))))</f>
        <v>77.2</v>
      </c>
    </row>
    <row r="104" spans="1:12" x14ac:dyDescent="0.25">
      <c r="A104" s="5">
        <v>45430</v>
      </c>
      <c r="B104" s="1" t="s">
        <v>13</v>
      </c>
      <c r="C104" s="1" t="s">
        <v>24</v>
      </c>
      <c r="D104" s="1" t="s">
        <v>26</v>
      </c>
      <c r="E104" s="10">
        <v>13</v>
      </c>
      <c r="F104" s="10">
        <v>1606</v>
      </c>
      <c r="G104" s="1" t="s">
        <v>35</v>
      </c>
      <c r="H104" s="10">
        <f t="shared" si="2"/>
        <v>20878</v>
      </c>
      <c r="I104" s="7">
        <v>16386.637955611499</v>
      </c>
      <c r="J104" s="7">
        <f t="shared" si="3"/>
        <v>4491.3620443885011</v>
      </c>
      <c r="K104" s="1">
        <f>IF(B104="North",28.6,
IF(B104="South",13,
IF(B104="East",22.6,
IF(B104="West",19,
23.5))))</f>
        <v>13</v>
      </c>
      <c r="L104" s="1">
        <f>IF(B104="North",77.2,
IF(B104="South",80.2,
IF(B104="East",88.4,
IF(B104="West",72.8,
78.9))))</f>
        <v>80.2</v>
      </c>
    </row>
    <row r="105" spans="1:12" x14ac:dyDescent="0.25">
      <c r="A105" s="5">
        <v>45372</v>
      </c>
      <c r="B105" s="1" t="s">
        <v>11</v>
      </c>
      <c r="C105" s="1" t="s">
        <v>17</v>
      </c>
      <c r="D105" s="1" t="s">
        <v>29</v>
      </c>
      <c r="E105" s="10">
        <v>17</v>
      </c>
      <c r="F105" s="10">
        <v>494</v>
      </c>
      <c r="G105" s="1" t="s">
        <v>33</v>
      </c>
      <c r="H105" s="10">
        <f t="shared" si="2"/>
        <v>8398</v>
      </c>
      <c r="I105" s="7">
        <v>7325.5064355640652</v>
      </c>
      <c r="J105" s="7">
        <f t="shared" si="3"/>
        <v>1072.4935644359348</v>
      </c>
      <c r="K105" s="1">
        <f>IF(B105="North",28.6,
IF(B105="South",13,
IF(B105="East",22.6,
IF(B105="West",19,
23.5))))</f>
        <v>19</v>
      </c>
      <c r="L105" s="1">
        <f>IF(B105="North",77.2,
IF(B105="South",80.2,
IF(B105="East",88.4,
IF(B105="West",72.8,
78.9))))</f>
        <v>72.8</v>
      </c>
    </row>
    <row r="106" spans="1:12" x14ac:dyDescent="0.25">
      <c r="A106" s="5">
        <v>45454</v>
      </c>
      <c r="B106" s="1" t="s">
        <v>10</v>
      </c>
      <c r="C106" s="1" t="s">
        <v>23</v>
      </c>
      <c r="D106" s="1" t="s">
        <v>30</v>
      </c>
      <c r="E106" s="10">
        <v>5</v>
      </c>
      <c r="F106" s="10">
        <v>1826</v>
      </c>
      <c r="G106" s="1" t="s">
        <v>34</v>
      </c>
      <c r="H106" s="10">
        <f t="shared" si="2"/>
        <v>9130</v>
      </c>
      <c r="I106" s="7">
        <v>7437.3727930964096</v>
      </c>
      <c r="J106" s="7">
        <f t="shared" si="3"/>
        <v>1692.6272069035904</v>
      </c>
      <c r="K106" s="1">
        <f>IF(B106="North",28.6,
IF(B106="South",13,
IF(B106="East",22.6,
IF(B106="West",19,
23.5))))</f>
        <v>28.6</v>
      </c>
      <c r="L106" s="1">
        <f>IF(B106="North",77.2,
IF(B106="South",80.2,
IF(B106="East",88.4,
IF(B106="West",72.8,
78.9))))</f>
        <v>77.2</v>
      </c>
    </row>
    <row r="107" spans="1:12" x14ac:dyDescent="0.25">
      <c r="A107" s="5">
        <v>45580</v>
      </c>
      <c r="B107" s="1" t="s">
        <v>10</v>
      </c>
      <c r="C107" s="1" t="s">
        <v>19</v>
      </c>
      <c r="D107" s="1" t="s">
        <v>28</v>
      </c>
      <c r="E107" s="10">
        <v>17</v>
      </c>
      <c r="F107" s="10">
        <v>975</v>
      </c>
      <c r="G107" s="1" t="s">
        <v>35</v>
      </c>
      <c r="H107" s="10">
        <f t="shared" si="2"/>
        <v>16575</v>
      </c>
      <c r="I107" s="7">
        <v>13405.21198491516</v>
      </c>
      <c r="J107" s="7">
        <f t="shared" si="3"/>
        <v>3169.7880150848396</v>
      </c>
      <c r="K107" s="1">
        <f>IF(B107="North",28.6,
IF(B107="South",13,
IF(B107="East",22.6,
IF(B107="West",19,
23.5))))</f>
        <v>28.6</v>
      </c>
      <c r="L107" s="1">
        <f>IF(B107="North",77.2,
IF(B107="South",80.2,
IF(B107="East",88.4,
IF(B107="West",72.8,
78.9))))</f>
        <v>77.2</v>
      </c>
    </row>
    <row r="108" spans="1:12" x14ac:dyDescent="0.25">
      <c r="A108" s="5">
        <v>45552</v>
      </c>
      <c r="B108" s="1" t="s">
        <v>12</v>
      </c>
      <c r="C108" s="1" t="s">
        <v>24</v>
      </c>
      <c r="D108" s="1" t="s">
        <v>29</v>
      </c>
      <c r="E108" s="10">
        <v>9</v>
      </c>
      <c r="F108" s="10">
        <v>1583</v>
      </c>
      <c r="G108" s="1" t="s">
        <v>35</v>
      </c>
      <c r="H108" s="10">
        <f t="shared" si="2"/>
        <v>14247</v>
      </c>
      <c r="I108" s="7">
        <v>11054.463948827261</v>
      </c>
      <c r="J108" s="7">
        <f t="shared" si="3"/>
        <v>3192.5360511727395</v>
      </c>
      <c r="K108" s="1">
        <f>IF(B108="North",28.6,
IF(B108="South",13,
IF(B108="East",22.6,
IF(B108="West",19,
23.5))))</f>
        <v>22.6</v>
      </c>
      <c r="L108" s="1">
        <f>IF(B108="North",77.2,
IF(B108="South",80.2,
IF(B108="East",88.4,
IF(B108="West",72.8,
78.9))))</f>
        <v>88.4</v>
      </c>
    </row>
    <row r="109" spans="1:12" x14ac:dyDescent="0.25">
      <c r="A109" s="5">
        <v>45522</v>
      </c>
      <c r="B109" s="1" t="s">
        <v>12</v>
      </c>
      <c r="C109" s="1" t="s">
        <v>20</v>
      </c>
      <c r="D109" s="1" t="s">
        <v>30</v>
      </c>
      <c r="E109" s="10">
        <v>2</v>
      </c>
      <c r="F109" s="10">
        <v>1958</v>
      </c>
      <c r="G109" s="1" t="s">
        <v>33</v>
      </c>
      <c r="H109" s="10">
        <f t="shared" si="2"/>
        <v>3916</v>
      </c>
      <c r="I109" s="7">
        <v>3093.2350239532529</v>
      </c>
      <c r="J109" s="7">
        <f t="shared" si="3"/>
        <v>822.76497604674705</v>
      </c>
      <c r="K109" s="1">
        <f>IF(B109="North",28.6,
IF(B109="South",13,
IF(B109="East",22.6,
IF(B109="West",19,
23.5))))</f>
        <v>22.6</v>
      </c>
      <c r="L109" s="1">
        <f>IF(B109="North",77.2,
IF(B109="South",80.2,
IF(B109="East",88.4,
IF(B109="West",72.8,
78.9))))</f>
        <v>88.4</v>
      </c>
    </row>
    <row r="110" spans="1:12" x14ac:dyDescent="0.25">
      <c r="A110" s="5">
        <v>45332</v>
      </c>
      <c r="B110" s="1" t="s">
        <v>11</v>
      </c>
      <c r="C110" s="1" t="s">
        <v>24</v>
      </c>
      <c r="D110" s="1" t="s">
        <v>30</v>
      </c>
      <c r="E110" s="10">
        <v>18</v>
      </c>
      <c r="F110" s="10">
        <v>1816</v>
      </c>
      <c r="G110" s="1" t="s">
        <v>35</v>
      </c>
      <c r="H110" s="10">
        <f t="shared" si="2"/>
        <v>32688</v>
      </c>
      <c r="I110" s="7">
        <v>27494.256870076559</v>
      </c>
      <c r="J110" s="7">
        <f t="shared" si="3"/>
        <v>5193.7431299234413</v>
      </c>
      <c r="K110" s="1">
        <f>IF(B110="North",28.6,
IF(B110="South",13,
IF(B110="East",22.6,
IF(B110="West",19,
23.5))))</f>
        <v>19</v>
      </c>
      <c r="L110" s="1">
        <f>IF(B110="North",77.2,
IF(B110="South",80.2,
IF(B110="East",88.4,
IF(B110="West",72.8,
78.9))))</f>
        <v>72.8</v>
      </c>
    </row>
    <row r="111" spans="1:12" x14ac:dyDescent="0.25">
      <c r="A111" s="5">
        <v>45319</v>
      </c>
      <c r="B111" s="1" t="s">
        <v>13</v>
      </c>
      <c r="C111" s="1" t="s">
        <v>17</v>
      </c>
      <c r="D111" s="1" t="s">
        <v>32</v>
      </c>
      <c r="E111" s="10">
        <v>9</v>
      </c>
      <c r="F111" s="10">
        <v>1034</v>
      </c>
      <c r="G111" s="1" t="s">
        <v>33</v>
      </c>
      <c r="H111" s="10">
        <f t="shared" si="2"/>
        <v>9306</v>
      </c>
      <c r="I111" s="7">
        <v>8317.4229219492463</v>
      </c>
      <c r="J111" s="7">
        <f t="shared" si="3"/>
        <v>988.5770780507537</v>
      </c>
      <c r="K111" s="1">
        <f>IF(B111="North",28.6,
IF(B111="South",13,
IF(B111="East",22.6,
IF(B111="West",19,
23.5))))</f>
        <v>13</v>
      </c>
      <c r="L111" s="1">
        <f>IF(B111="North",77.2,
IF(B111="South",80.2,
IF(B111="East",88.4,
IF(B111="West",72.8,
78.9))))</f>
        <v>80.2</v>
      </c>
    </row>
    <row r="112" spans="1:12" x14ac:dyDescent="0.25">
      <c r="A112" s="5">
        <v>45426</v>
      </c>
      <c r="B112" s="1" t="s">
        <v>10</v>
      </c>
      <c r="C112" s="1" t="s">
        <v>22</v>
      </c>
      <c r="D112" s="1" t="s">
        <v>27</v>
      </c>
      <c r="E112" s="10">
        <v>6</v>
      </c>
      <c r="F112" s="10">
        <v>1201</v>
      </c>
      <c r="G112" s="1" t="s">
        <v>35</v>
      </c>
      <c r="H112" s="10">
        <f t="shared" si="2"/>
        <v>7206</v>
      </c>
      <c r="I112" s="7">
        <v>6042.9343502948996</v>
      </c>
      <c r="J112" s="7">
        <f t="shared" si="3"/>
        <v>1163.0656497051004</v>
      </c>
      <c r="K112" s="1">
        <f>IF(B112="North",28.6,
IF(B112="South",13,
IF(B112="East",22.6,
IF(B112="West",19,
23.5))))</f>
        <v>28.6</v>
      </c>
      <c r="L112" s="1">
        <f>IF(B112="North",77.2,
IF(B112="South",80.2,
IF(B112="East",88.4,
IF(B112="West",72.8,
78.9))))</f>
        <v>77.2</v>
      </c>
    </row>
    <row r="113" spans="1:12" x14ac:dyDescent="0.25">
      <c r="A113" s="5">
        <v>45492</v>
      </c>
      <c r="B113" s="1" t="s">
        <v>11</v>
      </c>
      <c r="C113" s="1" t="s">
        <v>24</v>
      </c>
      <c r="D113" s="1" t="s">
        <v>32</v>
      </c>
      <c r="E113" s="10">
        <v>11</v>
      </c>
      <c r="F113" s="10">
        <v>1051</v>
      </c>
      <c r="G113" s="1" t="s">
        <v>35</v>
      </c>
      <c r="H113" s="10">
        <f t="shared" si="2"/>
        <v>11561</v>
      </c>
      <c r="I113" s="7">
        <v>9390.54999313191</v>
      </c>
      <c r="J113" s="7">
        <f t="shared" si="3"/>
        <v>2170.45000686809</v>
      </c>
      <c r="K113" s="1">
        <f>IF(B113="North",28.6,
IF(B113="South",13,
IF(B113="East",22.6,
IF(B113="West",19,
23.5))))</f>
        <v>19</v>
      </c>
      <c r="L113" s="1">
        <f>IF(B113="North",77.2,
IF(B113="South",80.2,
IF(B113="East",88.4,
IF(B113="West",72.8,
78.9))))</f>
        <v>72.8</v>
      </c>
    </row>
    <row r="114" spans="1:12" x14ac:dyDescent="0.25">
      <c r="A114" s="5">
        <v>45619</v>
      </c>
      <c r="B114" s="1" t="s">
        <v>10</v>
      </c>
      <c r="C114" s="1" t="s">
        <v>20</v>
      </c>
      <c r="D114" s="1" t="s">
        <v>28</v>
      </c>
      <c r="E114" s="10">
        <v>6</v>
      </c>
      <c r="F114" s="10">
        <v>1535</v>
      </c>
      <c r="G114" s="1" t="s">
        <v>33</v>
      </c>
      <c r="H114" s="10">
        <f t="shared" si="2"/>
        <v>9210</v>
      </c>
      <c r="I114" s="7">
        <v>5900.5105134186151</v>
      </c>
      <c r="J114" s="7">
        <f t="shared" si="3"/>
        <v>3309.4894865813849</v>
      </c>
      <c r="K114" s="1">
        <f>IF(B114="North",28.6,
IF(B114="South",13,
IF(B114="East",22.6,
IF(B114="West",19,
23.5))))</f>
        <v>28.6</v>
      </c>
      <c r="L114" s="1">
        <f>IF(B114="North",77.2,
IF(B114="South",80.2,
IF(B114="East",88.4,
IF(B114="West",72.8,
78.9))))</f>
        <v>77.2</v>
      </c>
    </row>
    <row r="115" spans="1:12" x14ac:dyDescent="0.25">
      <c r="A115" s="5">
        <v>45559</v>
      </c>
      <c r="B115" s="1" t="s">
        <v>10</v>
      </c>
      <c r="C115" s="1" t="s">
        <v>19</v>
      </c>
      <c r="D115" s="1" t="s">
        <v>30</v>
      </c>
      <c r="E115" s="10">
        <v>6</v>
      </c>
      <c r="F115" s="10">
        <v>174</v>
      </c>
      <c r="G115" s="1" t="s">
        <v>35</v>
      </c>
      <c r="H115" s="10">
        <f t="shared" si="2"/>
        <v>1044</v>
      </c>
      <c r="I115" s="7">
        <v>882.30957734673825</v>
      </c>
      <c r="J115" s="7">
        <f t="shared" si="3"/>
        <v>161.69042265326175</v>
      </c>
      <c r="K115" s="1">
        <f>IF(B115="North",28.6,
IF(B115="South",13,
IF(B115="East",22.6,
IF(B115="West",19,
23.5))))</f>
        <v>28.6</v>
      </c>
      <c r="L115" s="1">
        <f>IF(B115="North",77.2,
IF(B115="South",80.2,
IF(B115="East",88.4,
IF(B115="West",72.8,
78.9))))</f>
        <v>77.2</v>
      </c>
    </row>
    <row r="116" spans="1:12" x14ac:dyDescent="0.25">
      <c r="A116" s="5">
        <v>45324</v>
      </c>
      <c r="B116" s="1" t="s">
        <v>13</v>
      </c>
      <c r="C116" s="1" t="s">
        <v>18</v>
      </c>
      <c r="D116" s="1" t="s">
        <v>25</v>
      </c>
      <c r="E116" s="10">
        <v>13</v>
      </c>
      <c r="F116" s="10">
        <v>394</v>
      </c>
      <c r="G116" s="1" t="s">
        <v>34</v>
      </c>
      <c r="H116" s="10">
        <f t="shared" si="2"/>
        <v>5122</v>
      </c>
      <c r="I116" s="7">
        <v>4204.1289449448468</v>
      </c>
      <c r="J116" s="7">
        <f t="shared" si="3"/>
        <v>917.87105505515319</v>
      </c>
      <c r="K116" s="1">
        <f>IF(B116="North",28.6,
IF(B116="South",13,
IF(B116="East",22.6,
IF(B116="West",19,
23.5))))</f>
        <v>13</v>
      </c>
      <c r="L116" s="1">
        <f>IF(B116="North",77.2,
IF(B116="South",80.2,
IF(B116="East",88.4,
IF(B116="West",72.8,
78.9))))</f>
        <v>80.2</v>
      </c>
    </row>
    <row r="117" spans="1:12" x14ac:dyDescent="0.25">
      <c r="A117" s="5">
        <v>45339</v>
      </c>
      <c r="B117" s="1" t="s">
        <v>13</v>
      </c>
      <c r="C117" s="1" t="s">
        <v>21</v>
      </c>
      <c r="D117" s="1" t="s">
        <v>29</v>
      </c>
      <c r="E117" s="10">
        <v>11</v>
      </c>
      <c r="F117" s="10">
        <v>1916</v>
      </c>
      <c r="G117" s="1" t="s">
        <v>35</v>
      </c>
      <c r="H117" s="10">
        <f t="shared" si="2"/>
        <v>21076</v>
      </c>
      <c r="I117" s="7">
        <v>17516.888685082919</v>
      </c>
      <c r="J117" s="7">
        <f t="shared" si="3"/>
        <v>3559.1113149170815</v>
      </c>
      <c r="K117" s="1">
        <f>IF(B117="North",28.6,
IF(B117="South",13,
IF(B117="East",22.6,
IF(B117="West",19,
23.5))))</f>
        <v>13</v>
      </c>
      <c r="L117" s="1">
        <f>IF(B117="North",77.2,
IF(B117="South",80.2,
IF(B117="East",88.4,
IF(B117="West",72.8,
78.9))))</f>
        <v>80.2</v>
      </c>
    </row>
    <row r="118" spans="1:12" x14ac:dyDescent="0.25">
      <c r="A118" s="5">
        <v>45353</v>
      </c>
      <c r="B118" s="1" t="s">
        <v>11</v>
      </c>
      <c r="C118" s="1" t="s">
        <v>22</v>
      </c>
      <c r="D118" s="1" t="s">
        <v>31</v>
      </c>
      <c r="E118" s="10">
        <v>14</v>
      </c>
      <c r="F118" s="10">
        <v>120</v>
      </c>
      <c r="G118" s="1" t="s">
        <v>35</v>
      </c>
      <c r="H118" s="10">
        <f t="shared" si="2"/>
        <v>1680</v>
      </c>
      <c r="I118" s="7">
        <v>1124.4726250346289</v>
      </c>
      <c r="J118" s="7">
        <f t="shared" si="3"/>
        <v>555.52737496537111</v>
      </c>
      <c r="K118" s="1">
        <f>IF(B118="North",28.6,
IF(B118="South",13,
IF(B118="East",22.6,
IF(B118="West",19,
23.5))))</f>
        <v>19</v>
      </c>
      <c r="L118" s="1">
        <f>IF(B118="North",77.2,
IF(B118="South",80.2,
IF(B118="East",88.4,
IF(B118="West",72.8,
78.9))))</f>
        <v>72.8</v>
      </c>
    </row>
    <row r="119" spans="1:12" x14ac:dyDescent="0.25">
      <c r="A119" s="5">
        <v>45507</v>
      </c>
      <c r="B119" s="1" t="s">
        <v>13</v>
      </c>
      <c r="C119" s="1" t="s">
        <v>18</v>
      </c>
      <c r="D119" s="1" t="s">
        <v>30</v>
      </c>
      <c r="E119" s="10">
        <v>2</v>
      </c>
      <c r="F119" s="10">
        <v>1294</v>
      </c>
      <c r="G119" s="1" t="s">
        <v>34</v>
      </c>
      <c r="H119" s="10">
        <f t="shared" si="2"/>
        <v>2588</v>
      </c>
      <c r="I119" s="7">
        <v>2254.2336859943762</v>
      </c>
      <c r="J119" s="7">
        <f t="shared" si="3"/>
        <v>333.76631400562383</v>
      </c>
      <c r="K119" s="1">
        <f>IF(B119="North",28.6,
IF(B119="South",13,
IF(B119="East",22.6,
IF(B119="West",19,
23.5))))</f>
        <v>13</v>
      </c>
      <c r="L119" s="1">
        <f>IF(B119="North",77.2,
IF(B119="South",80.2,
IF(B119="East",88.4,
IF(B119="West",72.8,
78.9))))</f>
        <v>80.2</v>
      </c>
    </row>
    <row r="120" spans="1:12" x14ac:dyDescent="0.25">
      <c r="A120" s="5">
        <v>45584</v>
      </c>
      <c r="B120" s="1" t="s">
        <v>13</v>
      </c>
      <c r="C120" s="1" t="s">
        <v>40</v>
      </c>
      <c r="D120" s="1" t="s">
        <v>29</v>
      </c>
      <c r="E120" s="10">
        <v>8</v>
      </c>
      <c r="F120" s="10">
        <v>1138</v>
      </c>
      <c r="G120" s="1" t="s">
        <v>35</v>
      </c>
      <c r="H120" s="10">
        <f t="shared" si="2"/>
        <v>9104</v>
      </c>
      <c r="I120" s="7">
        <v>5728.0948732289498</v>
      </c>
      <c r="J120" s="7">
        <f t="shared" si="3"/>
        <v>3375.9051267710502</v>
      </c>
      <c r="K120" s="1">
        <f>IF(B120="North",28.6,
IF(B120="South",13,
IF(B120="East",22.6,
IF(B120="West",19,
23.5))))</f>
        <v>13</v>
      </c>
      <c r="L120" s="1">
        <f>IF(B120="North",77.2,
IF(B120="South",80.2,
IF(B120="East",88.4,
IF(B120="West",72.8,
78.9))))</f>
        <v>80.2</v>
      </c>
    </row>
    <row r="121" spans="1:12" x14ac:dyDescent="0.25">
      <c r="A121" s="5">
        <v>45390</v>
      </c>
      <c r="B121" s="1" t="s">
        <v>11</v>
      </c>
      <c r="C121" s="1" t="s">
        <v>24</v>
      </c>
      <c r="D121" s="1" t="s">
        <v>25</v>
      </c>
      <c r="E121" s="10">
        <v>10</v>
      </c>
      <c r="F121" s="10">
        <v>1334</v>
      </c>
      <c r="G121" s="1" t="s">
        <v>35</v>
      </c>
      <c r="H121" s="10">
        <f t="shared" si="2"/>
        <v>13340</v>
      </c>
      <c r="I121" s="7">
        <f>H121*0.7</f>
        <v>9338</v>
      </c>
      <c r="J121" s="7">
        <f t="shared" si="3"/>
        <v>4002</v>
      </c>
      <c r="K121" s="1">
        <f>IF(B121="North",28.6,
IF(B121="South",13,
IF(B121="East",22.6,
IF(B121="West",19,
23.5))))</f>
        <v>19</v>
      </c>
      <c r="L121" s="1">
        <f>IF(B121="North",77.2,
IF(B121="South",80.2,
IF(B121="East",88.4,
IF(B121="West",72.8,
78.9))))</f>
        <v>72.8</v>
      </c>
    </row>
    <row r="122" spans="1:12" x14ac:dyDescent="0.25">
      <c r="A122" s="5">
        <v>45463</v>
      </c>
      <c r="B122" s="1" t="s">
        <v>13</v>
      </c>
      <c r="C122" s="1" t="s">
        <v>17</v>
      </c>
      <c r="D122" s="1" t="s">
        <v>31</v>
      </c>
      <c r="E122" s="10">
        <v>3</v>
      </c>
      <c r="F122" s="10">
        <v>659</v>
      </c>
      <c r="G122" s="1" t="s">
        <v>33</v>
      </c>
      <c r="H122" s="10">
        <f t="shared" si="2"/>
        <v>1977</v>
      </c>
      <c r="I122" s="7">
        <v>1579.4392012702031</v>
      </c>
      <c r="J122" s="7">
        <f t="shared" si="3"/>
        <v>397.56079872979694</v>
      </c>
      <c r="K122" s="1">
        <f>IF(B122="North",28.6,
IF(B122="South",13,
IF(B122="East",22.6,
IF(B122="West",19,
23.5))))</f>
        <v>13</v>
      </c>
      <c r="L122" s="1">
        <f>IF(B122="North",77.2,
IF(B122="South",80.2,
IF(B122="East",88.4,
IF(B122="West",72.8,
78.9))))</f>
        <v>80.2</v>
      </c>
    </row>
    <row r="123" spans="1:12" x14ac:dyDescent="0.25">
      <c r="A123" s="5">
        <v>45651</v>
      </c>
      <c r="B123" s="1" t="s">
        <v>12</v>
      </c>
      <c r="C123" s="1" t="s">
        <v>23</v>
      </c>
      <c r="D123" s="1" t="s">
        <v>32</v>
      </c>
      <c r="E123" s="10">
        <v>1</v>
      </c>
      <c r="F123" s="10">
        <v>1209</v>
      </c>
      <c r="G123" s="1" t="s">
        <v>34</v>
      </c>
      <c r="H123" s="10">
        <f t="shared" si="2"/>
        <v>1209</v>
      </c>
      <c r="I123" s="7">
        <v>969.75623603150916</v>
      </c>
      <c r="J123" s="7">
        <f t="shared" si="3"/>
        <v>239.24376396849084</v>
      </c>
      <c r="K123" s="1">
        <f>IF(B123="North",28.6,
IF(B123="South",13,
IF(B123="East",22.6,
IF(B123="West",19,
23.5))))</f>
        <v>22.6</v>
      </c>
      <c r="L123" s="1">
        <f>IF(B123="North",77.2,
IF(B123="South",80.2,
IF(B123="East",88.4,
IF(B123="West",72.8,
78.9))))</f>
        <v>88.4</v>
      </c>
    </row>
    <row r="124" spans="1:12" x14ac:dyDescent="0.25">
      <c r="A124" s="5">
        <v>45505</v>
      </c>
      <c r="B124" s="1" t="s">
        <v>10</v>
      </c>
      <c r="C124" s="1" t="s">
        <v>17</v>
      </c>
      <c r="D124" s="1" t="s">
        <v>32</v>
      </c>
      <c r="E124" s="10">
        <v>19</v>
      </c>
      <c r="F124" s="10">
        <v>1272</v>
      </c>
      <c r="G124" s="1" t="s">
        <v>33</v>
      </c>
      <c r="H124" s="10">
        <f t="shared" si="2"/>
        <v>24168</v>
      </c>
      <c r="I124" s="7">
        <v>16772.528435507498</v>
      </c>
      <c r="J124" s="7">
        <f t="shared" si="3"/>
        <v>7395.4715644925018</v>
      </c>
      <c r="K124" s="1">
        <f>IF(B124="North",28.6,
IF(B124="South",13,
IF(B124="East",22.6,
IF(B124="West",19,
23.5))))</f>
        <v>28.6</v>
      </c>
      <c r="L124" s="1">
        <f>IF(B124="North",77.2,
IF(B124="South",80.2,
IF(B124="East",88.4,
IF(B124="West",72.8,
78.9))))</f>
        <v>77.2</v>
      </c>
    </row>
    <row r="125" spans="1:12" x14ac:dyDescent="0.25">
      <c r="A125" s="5">
        <v>45326</v>
      </c>
      <c r="B125" s="1" t="s">
        <v>10</v>
      </c>
      <c r="C125" s="1" t="s">
        <v>40</v>
      </c>
      <c r="D125" s="1" t="s">
        <v>27</v>
      </c>
      <c r="E125" s="10">
        <v>18</v>
      </c>
      <c r="F125" s="10">
        <v>1823</v>
      </c>
      <c r="G125" s="1" t="s">
        <v>34</v>
      </c>
      <c r="H125" s="10">
        <f t="shared" si="2"/>
        <v>32814</v>
      </c>
      <c r="I125" s="7">
        <v>26594.300989844131</v>
      </c>
      <c r="J125" s="7">
        <f t="shared" si="3"/>
        <v>6219.6990101558695</v>
      </c>
      <c r="K125" s="1">
        <f>IF(B125="North",28.6,
IF(B125="South",13,
IF(B125="East",22.6,
IF(B125="West",19,
23.5))))</f>
        <v>28.6</v>
      </c>
      <c r="L125" s="1">
        <f>IF(B125="North",77.2,
IF(B125="South",80.2,
IF(B125="East",88.4,
IF(B125="West",72.8,
78.9))))</f>
        <v>77.2</v>
      </c>
    </row>
    <row r="126" spans="1:12" x14ac:dyDescent="0.25">
      <c r="A126" s="5">
        <v>45518</v>
      </c>
      <c r="B126" s="1" t="s">
        <v>10</v>
      </c>
      <c r="C126" s="1" t="s">
        <v>20</v>
      </c>
      <c r="D126" s="1" t="s">
        <v>29</v>
      </c>
      <c r="E126" s="10">
        <v>17</v>
      </c>
      <c r="F126" s="10">
        <v>471</v>
      </c>
      <c r="G126" s="1" t="s">
        <v>33</v>
      </c>
      <c r="H126" s="10">
        <f t="shared" si="2"/>
        <v>8007</v>
      </c>
      <c r="I126" s="7">
        <v>5736.0479445007686</v>
      </c>
      <c r="J126" s="7">
        <f t="shared" si="3"/>
        <v>2270.9520554992314</v>
      </c>
      <c r="K126" s="1">
        <f>IF(B126="North",28.6,
IF(B126="South",13,
IF(B126="East",22.6,
IF(B126="West",19,
23.5))))</f>
        <v>28.6</v>
      </c>
      <c r="L126" s="1">
        <f>IF(B126="North",77.2,
IF(B126="South",80.2,
IF(B126="East",88.4,
IF(B126="West",72.8,
78.9))))</f>
        <v>77.2</v>
      </c>
    </row>
    <row r="127" spans="1:12" x14ac:dyDescent="0.25">
      <c r="A127" s="5">
        <v>45392</v>
      </c>
      <c r="B127" s="1" t="s">
        <v>10</v>
      </c>
      <c r="C127" s="1" t="s">
        <v>17</v>
      </c>
      <c r="D127" s="1" t="s">
        <v>30</v>
      </c>
      <c r="E127" s="10">
        <v>13</v>
      </c>
      <c r="F127" s="10">
        <v>1603</v>
      </c>
      <c r="G127" s="1" t="s">
        <v>33</v>
      </c>
      <c r="H127" s="10">
        <f t="shared" si="2"/>
        <v>20839</v>
      </c>
      <c r="I127" s="7">
        <v>12504.497272488979</v>
      </c>
      <c r="J127" s="7">
        <f t="shared" si="3"/>
        <v>8334.5027275110206</v>
      </c>
      <c r="K127" s="1">
        <f>IF(B127="North",28.6,
IF(B127="South",13,
IF(B127="East",22.6,
IF(B127="West",19,
23.5))))</f>
        <v>28.6</v>
      </c>
      <c r="L127" s="1">
        <f>IF(B127="North",77.2,
IF(B127="South",80.2,
IF(B127="East",88.4,
IF(B127="West",72.8,
78.9))))</f>
        <v>77.2</v>
      </c>
    </row>
    <row r="128" spans="1:12" x14ac:dyDescent="0.25">
      <c r="A128" s="5">
        <v>45422</v>
      </c>
      <c r="B128" s="1" t="s">
        <v>11</v>
      </c>
      <c r="C128" s="1" t="s">
        <v>22</v>
      </c>
      <c r="D128" s="1" t="s">
        <v>26</v>
      </c>
      <c r="E128" s="10">
        <v>3</v>
      </c>
      <c r="F128" s="10">
        <v>1073.5</v>
      </c>
      <c r="G128" s="1" t="s">
        <v>35</v>
      </c>
      <c r="H128" s="10">
        <f t="shared" si="2"/>
        <v>3220.5</v>
      </c>
      <c r="I128" s="7">
        <f>H128*0.7</f>
        <v>2254.35</v>
      </c>
      <c r="J128" s="7">
        <f t="shared" si="3"/>
        <v>966.15000000000009</v>
      </c>
      <c r="K128" s="1">
        <f>IF(B128="North",28.6,
IF(B128="South",13,
IF(B128="East",22.6,
IF(B128="West",19,
23.5))))</f>
        <v>19</v>
      </c>
      <c r="L128" s="1">
        <f>IF(B128="North",77.2,
IF(B128="South",80.2,
IF(B128="East",88.4,
IF(B128="West",72.8,
78.9))))</f>
        <v>72.8</v>
      </c>
    </row>
    <row r="129" spans="1:12" x14ac:dyDescent="0.25">
      <c r="A129" s="5">
        <v>45548</v>
      </c>
      <c r="B129" s="1" t="s">
        <v>10</v>
      </c>
      <c r="C129" s="1" t="s">
        <v>17</v>
      </c>
      <c r="D129" s="1" t="s">
        <v>32</v>
      </c>
      <c r="E129" s="10">
        <v>1</v>
      </c>
      <c r="F129" s="10">
        <v>1274</v>
      </c>
      <c r="G129" s="1" t="s">
        <v>33</v>
      </c>
      <c r="H129" s="10">
        <f t="shared" si="2"/>
        <v>1274</v>
      </c>
      <c r="I129" s="7">
        <v>1101.7367047883861</v>
      </c>
      <c r="J129" s="7">
        <f t="shared" si="3"/>
        <v>172.26329521161392</v>
      </c>
      <c r="K129" s="1">
        <f>IF(B129="North",28.6,
IF(B129="South",13,
IF(B129="East",22.6,
IF(B129="West",19,
23.5))))</f>
        <v>28.6</v>
      </c>
      <c r="L129" s="1">
        <f>IF(B129="North",77.2,
IF(B129="South",80.2,
IF(B129="East",88.4,
IF(B129="West",72.8,
78.9))))</f>
        <v>77.2</v>
      </c>
    </row>
    <row r="130" spans="1:12" x14ac:dyDescent="0.25">
      <c r="A130" s="5">
        <v>45296</v>
      </c>
      <c r="B130" s="1" t="s">
        <v>10</v>
      </c>
      <c r="C130" s="1" t="s">
        <v>20</v>
      </c>
      <c r="D130" s="1" t="s">
        <v>32</v>
      </c>
      <c r="E130" s="10">
        <v>4</v>
      </c>
      <c r="F130" s="10">
        <v>1264</v>
      </c>
      <c r="G130" s="1" t="s">
        <v>33</v>
      </c>
      <c r="H130" s="10">
        <f t="shared" si="2"/>
        <v>5056</v>
      </c>
      <c r="I130" s="7">
        <v>3371.3822769911831</v>
      </c>
      <c r="J130" s="7">
        <f t="shared" si="3"/>
        <v>1684.6177230088169</v>
      </c>
      <c r="K130" s="1">
        <f>IF(B130="North",28.6,
IF(B130="South",13,
IF(B130="East",22.6,
IF(B130="West",19,
23.5))))</f>
        <v>28.6</v>
      </c>
      <c r="L130" s="1">
        <f>IF(B130="North",77.2,
IF(B130="South",80.2,
IF(B130="East",88.4,
IF(B130="West",72.8,
78.9))))</f>
        <v>77.2</v>
      </c>
    </row>
    <row r="131" spans="1:12" x14ac:dyDescent="0.25">
      <c r="A131" s="5">
        <v>45509</v>
      </c>
      <c r="B131" s="1" t="s">
        <v>10</v>
      </c>
      <c r="C131" s="1" t="s">
        <v>21</v>
      </c>
      <c r="D131" s="1" t="s">
        <v>27</v>
      </c>
      <c r="E131" s="10">
        <v>13</v>
      </c>
      <c r="F131" s="10">
        <v>1192</v>
      </c>
      <c r="G131" s="1" t="s">
        <v>35</v>
      </c>
      <c r="H131" s="10">
        <f t="shared" ref="H131:H194" si="4">E131*F131</f>
        <v>15496</v>
      </c>
      <c r="I131" s="7">
        <v>9822.4975832871423</v>
      </c>
      <c r="J131" s="7">
        <f t="shared" ref="J131:J194" si="5">H131-I131</f>
        <v>5673.5024167128577</v>
      </c>
      <c r="K131" s="1">
        <f>IF(B131="North",28.6,
IF(B131="South",13,
IF(B131="East",22.6,
IF(B131="West",19,
23.5))))</f>
        <v>28.6</v>
      </c>
      <c r="L131" s="1">
        <f>IF(B131="North",77.2,
IF(B131="South",80.2,
IF(B131="East",88.4,
IF(B131="West",72.8,
78.9))))</f>
        <v>77.2</v>
      </c>
    </row>
    <row r="132" spans="1:12" x14ac:dyDescent="0.25">
      <c r="A132" s="5">
        <v>45546</v>
      </c>
      <c r="B132" s="1" t="s">
        <v>10</v>
      </c>
      <c r="C132" s="1" t="s">
        <v>24</v>
      </c>
      <c r="D132" s="1" t="s">
        <v>31</v>
      </c>
      <c r="E132" s="10">
        <v>17</v>
      </c>
      <c r="F132" s="10">
        <v>1383</v>
      </c>
      <c r="G132" s="1" t="s">
        <v>35</v>
      </c>
      <c r="H132" s="10">
        <f t="shared" si="4"/>
        <v>23511</v>
      </c>
      <c r="I132" s="7">
        <v>18918.365533828601</v>
      </c>
      <c r="J132" s="7">
        <f t="shared" si="5"/>
        <v>4592.6344661713993</v>
      </c>
      <c r="K132" s="1">
        <f>IF(B132="North",28.6,
IF(B132="South",13,
IF(B132="East",22.6,
IF(B132="West",19,
23.5))))</f>
        <v>28.6</v>
      </c>
      <c r="L132" s="1">
        <f>IF(B132="North",77.2,
IF(B132="South",80.2,
IF(B132="East",88.4,
IF(B132="West",72.8,
78.9))))</f>
        <v>77.2</v>
      </c>
    </row>
    <row r="133" spans="1:12" x14ac:dyDescent="0.25">
      <c r="A133" s="5">
        <v>45650</v>
      </c>
      <c r="B133" s="1" t="s">
        <v>12</v>
      </c>
      <c r="C133" s="1" t="s">
        <v>23</v>
      </c>
      <c r="D133" s="1" t="s">
        <v>27</v>
      </c>
      <c r="E133" s="10">
        <v>11</v>
      </c>
      <c r="F133" s="10">
        <v>945</v>
      </c>
      <c r="G133" s="1" t="s">
        <v>34</v>
      </c>
      <c r="H133" s="10">
        <f t="shared" si="4"/>
        <v>10395</v>
      </c>
      <c r="I133" s="7">
        <v>7611.3430406547623</v>
      </c>
      <c r="J133" s="7">
        <f t="shared" si="5"/>
        <v>2783.6569593452377</v>
      </c>
      <c r="K133" s="1">
        <f>IF(B133="North",28.6,
IF(B133="South",13,
IF(B133="East",22.6,
IF(B133="West",19,
23.5))))</f>
        <v>22.6</v>
      </c>
      <c r="L133" s="1">
        <f>IF(B133="North",77.2,
IF(B133="South",80.2,
IF(B133="East",88.4,
IF(B133="West",72.8,
78.9))))</f>
        <v>88.4</v>
      </c>
    </row>
    <row r="134" spans="1:12" x14ac:dyDescent="0.25">
      <c r="A134" s="5">
        <v>45574</v>
      </c>
      <c r="B134" s="1" t="s">
        <v>10</v>
      </c>
      <c r="C134" s="1" t="s">
        <v>18</v>
      </c>
      <c r="D134" s="1" t="s">
        <v>25</v>
      </c>
      <c r="E134" s="10">
        <v>2</v>
      </c>
      <c r="F134" s="10">
        <v>620</v>
      </c>
      <c r="G134" s="1" t="s">
        <v>34</v>
      </c>
      <c r="H134" s="10">
        <f t="shared" si="4"/>
        <v>1240</v>
      </c>
      <c r="I134" s="7">
        <v>1040.331828339924</v>
      </c>
      <c r="J134" s="7">
        <f t="shared" si="5"/>
        <v>199.66817166007604</v>
      </c>
      <c r="K134" s="1">
        <f>IF(B134="North",28.6,
IF(B134="South",13,
IF(B134="East",22.6,
IF(B134="West",19,
23.5))))</f>
        <v>28.6</v>
      </c>
      <c r="L134" s="1">
        <f>IF(B134="North",77.2,
IF(B134="South",80.2,
IF(B134="East",88.4,
IF(B134="West",72.8,
78.9))))</f>
        <v>77.2</v>
      </c>
    </row>
    <row r="135" spans="1:12" x14ac:dyDescent="0.25">
      <c r="A135" s="5">
        <v>45498</v>
      </c>
      <c r="B135" s="1" t="s">
        <v>12</v>
      </c>
      <c r="C135" s="1" t="s">
        <v>24</v>
      </c>
      <c r="D135" s="1" t="s">
        <v>30</v>
      </c>
      <c r="E135" s="10">
        <v>16</v>
      </c>
      <c r="F135" s="10">
        <v>1756</v>
      </c>
      <c r="G135" s="1" t="s">
        <v>35</v>
      </c>
      <c r="H135" s="10">
        <f t="shared" si="4"/>
        <v>28096</v>
      </c>
      <c r="I135" s="7">
        <v>24118.547064468119</v>
      </c>
      <c r="J135" s="7">
        <f t="shared" si="5"/>
        <v>3977.4529355318809</v>
      </c>
      <c r="K135" s="1">
        <f>IF(B135="North",28.6,
IF(B135="South",13,
IF(B135="East",22.6,
IF(B135="West",19,
23.5))))</f>
        <v>22.6</v>
      </c>
      <c r="L135" s="1">
        <f>IF(B135="North",77.2,
IF(B135="South",80.2,
IF(B135="East",88.4,
IF(B135="West",72.8,
78.9))))</f>
        <v>88.4</v>
      </c>
    </row>
    <row r="136" spans="1:12" x14ac:dyDescent="0.25">
      <c r="A136" s="5">
        <v>45306</v>
      </c>
      <c r="B136" s="1" t="s">
        <v>11</v>
      </c>
      <c r="C136" s="1" t="s">
        <v>17</v>
      </c>
      <c r="D136" s="1" t="s">
        <v>29</v>
      </c>
      <c r="E136" s="10">
        <v>2</v>
      </c>
      <c r="F136" s="10">
        <v>470</v>
      </c>
      <c r="G136" s="1" t="s">
        <v>33</v>
      </c>
      <c r="H136" s="10">
        <f t="shared" si="4"/>
        <v>940</v>
      </c>
      <c r="I136" s="7">
        <v>802.56886342319933</v>
      </c>
      <c r="J136" s="7">
        <f t="shared" si="5"/>
        <v>137.43113657680067</v>
      </c>
      <c r="K136" s="1">
        <f>IF(B136="North",28.6,
IF(B136="South",13,
IF(B136="East",22.6,
IF(B136="West",19,
23.5))))</f>
        <v>19</v>
      </c>
      <c r="L136" s="1">
        <f>IF(B136="North",77.2,
IF(B136="South",80.2,
IF(B136="East",88.4,
IF(B136="West",72.8,
78.9))))</f>
        <v>72.8</v>
      </c>
    </row>
    <row r="137" spans="1:12" x14ac:dyDescent="0.25">
      <c r="A137" s="5">
        <v>45637</v>
      </c>
      <c r="B137" s="1" t="s">
        <v>13</v>
      </c>
      <c r="C137" s="1" t="s">
        <v>19</v>
      </c>
      <c r="D137" s="1" t="s">
        <v>28</v>
      </c>
      <c r="E137" s="10">
        <v>19</v>
      </c>
      <c r="F137" s="10">
        <v>1542</v>
      </c>
      <c r="G137" s="1" t="s">
        <v>35</v>
      </c>
      <c r="H137" s="10">
        <f t="shared" si="4"/>
        <v>29298</v>
      </c>
      <c r="I137" s="7">
        <v>20329.963231209171</v>
      </c>
      <c r="J137" s="7">
        <f t="shared" si="5"/>
        <v>8968.0367687908292</v>
      </c>
      <c r="K137" s="1">
        <f>IF(B137="North",28.6,
IF(B137="South",13,
IF(B137="East",22.6,
IF(B137="West",19,
23.5))))</f>
        <v>13</v>
      </c>
      <c r="L137" s="1">
        <f>IF(B137="North",77.2,
IF(B137="South",80.2,
IF(B137="East",88.4,
IF(B137="West",72.8,
78.9))))</f>
        <v>80.2</v>
      </c>
    </row>
    <row r="138" spans="1:12" x14ac:dyDescent="0.25">
      <c r="A138" s="5">
        <v>45333</v>
      </c>
      <c r="B138" s="1" t="s">
        <v>10</v>
      </c>
      <c r="C138" s="1" t="s">
        <v>24</v>
      </c>
      <c r="D138" s="1" t="s">
        <v>28</v>
      </c>
      <c r="E138" s="10">
        <v>19</v>
      </c>
      <c r="F138" s="10">
        <v>200</v>
      </c>
      <c r="G138" s="1" t="s">
        <v>35</v>
      </c>
      <c r="H138" s="10">
        <f t="shared" si="4"/>
        <v>3800</v>
      </c>
      <c r="I138" s="7">
        <v>2856.3223692837068</v>
      </c>
      <c r="J138" s="7">
        <f t="shared" si="5"/>
        <v>943.67763071629315</v>
      </c>
      <c r="K138" s="1">
        <f>IF(B138="North",28.6,
IF(B138="South",13,
IF(B138="East",22.6,
IF(B138="West",19,
23.5))))</f>
        <v>28.6</v>
      </c>
      <c r="L138" s="1">
        <f>IF(B138="North",77.2,
IF(B138="South",80.2,
IF(B138="East",88.4,
IF(B138="West",72.8,
78.9))))</f>
        <v>77.2</v>
      </c>
    </row>
    <row r="139" spans="1:12" x14ac:dyDescent="0.25">
      <c r="A139" s="5">
        <v>45470</v>
      </c>
      <c r="B139" s="1" t="s">
        <v>13</v>
      </c>
      <c r="C139" s="1" t="s">
        <v>21</v>
      </c>
      <c r="D139" s="1" t="s">
        <v>29</v>
      </c>
      <c r="E139" s="10">
        <v>16</v>
      </c>
      <c r="F139" s="10">
        <v>760</v>
      </c>
      <c r="G139" s="1" t="s">
        <v>35</v>
      </c>
      <c r="H139" s="10">
        <f t="shared" si="4"/>
        <v>12160</v>
      </c>
      <c r="I139" s="7">
        <v>9667.7170479921242</v>
      </c>
      <c r="J139" s="7">
        <f t="shared" si="5"/>
        <v>2492.2829520078758</v>
      </c>
      <c r="K139" s="1">
        <f>IF(B139="North",28.6,
IF(B139="South",13,
IF(B139="East",22.6,
IF(B139="West",19,
23.5))))</f>
        <v>13</v>
      </c>
      <c r="L139" s="1">
        <f>IF(B139="North",77.2,
IF(B139="South",80.2,
IF(B139="East",88.4,
IF(B139="West",72.8,
78.9))))</f>
        <v>80.2</v>
      </c>
    </row>
    <row r="140" spans="1:12" x14ac:dyDescent="0.25">
      <c r="A140" s="5">
        <v>45354</v>
      </c>
      <c r="B140" s="1" t="s">
        <v>13</v>
      </c>
      <c r="C140" s="1" t="s">
        <v>17</v>
      </c>
      <c r="D140" s="1" t="s">
        <v>31</v>
      </c>
      <c r="E140" s="10">
        <v>19</v>
      </c>
      <c r="F140" s="10">
        <v>1781</v>
      </c>
      <c r="G140" s="1" t="s">
        <v>33</v>
      </c>
      <c r="H140" s="10">
        <f t="shared" si="4"/>
        <v>33839</v>
      </c>
      <c r="I140" s="7">
        <v>23572.075707182241</v>
      </c>
      <c r="J140" s="7">
        <f t="shared" si="5"/>
        <v>10266.924292817759</v>
      </c>
      <c r="K140" s="1">
        <f>IF(B140="North",28.6,
IF(B140="South",13,
IF(B140="East",22.6,
IF(B140="West",19,
23.5))))</f>
        <v>13</v>
      </c>
      <c r="L140" s="1">
        <f>IF(B140="North",77.2,
IF(B140="South",80.2,
IF(B140="East",88.4,
IF(B140="West",72.8,
78.9))))</f>
        <v>80.2</v>
      </c>
    </row>
    <row r="141" spans="1:12" x14ac:dyDescent="0.25">
      <c r="A141" s="5">
        <v>45643</v>
      </c>
      <c r="B141" s="1" t="s">
        <v>36</v>
      </c>
      <c r="C141" s="1" t="s">
        <v>23</v>
      </c>
      <c r="D141" s="1" t="s">
        <v>25</v>
      </c>
      <c r="E141" s="10">
        <v>9</v>
      </c>
      <c r="F141" s="10">
        <v>1988</v>
      </c>
      <c r="G141" s="1" t="s">
        <v>34</v>
      </c>
      <c r="H141" s="10">
        <f t="shared" si="4"/>
        <v>17892</v>
      </c>
      <c r="I141" s="7">
        <v>10955.80468508886</v>
      </c>
      <c r="J141" s="7">
        <f t="shared" si="5"/>
        <v>6936.1953149111396</v>
      </c>
      <c r="K141" s="1">
        <f>IF(B141="North",28.6,
IF(B141="South",13,
IF(B141="East",22.6,
IF(B141="West",19,
23.5))))</f>
        <v>23.5</v>
      </c>
      <c r="L141" s="1">
        <f>IF(B141="North",77.2,
IF(B141="South",80.2,
IF(B141="East",88.4,
IF(B141="West",72.8,
78.9))))</f>
        <v>78.900000000000006</v>
      </c>
    </row>
    <row r="142" spans="1:12" x14ac:dyDescent="0.25">
      <c r="A142" s="5">
        <v>45522</v>
      </c>
      <c r="B142" s="1" t="s">
        <v>13</v>
      </c>
      <c r="C142" s="1" t="s">
        <v>20</v>
      </c>
      <c r="D142" s="1" t="s">
        <v>32</v>
      </c>
      <c r="E142" s="10">
        <v>1</v>
      </c>
      <c r="F142" s="10">
        <v>1067</v>
      </c>
      <c r="G142" s="1" t="s">
        <v>33</v>
      </c>
      <c r="H142" s="10">
        <f t="shared" si="4"/>
        <v>1067</v>
      </c>
      <c r="I142" s="7">
        <v>798.86216877324375</v>
      </c>
      <c r="J142" s="7">
        <f t="shared" si="5"/>
        <v>268.13783122675625</v>
      </c>
      <c r="K142" s="1">
        <f>IF(B142="North",28.6,
IF(B142="South",13,
IF(B142="East",22.6,
IF(B142="West",19,
23.5))))</f>
        <v>13</v>
      </c>
      <c r="L142" s="1">
        <f>IF(B142="North",77.2,
IF(B142="South",80.2,
IF(B142="East",88.4,
IF(B142="West",72.8,
78.9))))</f>
        <v>80.2</v>
      </c>
    </row>
    <row r="143" spans="1:12" x14ac:dyDescent="0.25">
      <c r="A143" s="5">
        <v>45532</v>
      </c>
      <c r="B143" s="1" t="s">
        <v>12</v>
      </c>
      <c r="C143" s="1" t="s">
        <v>21</v>
      </c>
      <c r="D143" s="1" t="s">
        <v>31</v>
      </c>
      <c r="E143" s="10">
        <v>10</v>
      </c>
      <c r="F143" s="10">
        <v>342</v>
      </c>
      <c r="G143" s="1" t="s">
        <v>35</v>
      </c>
      <c r="H143" s="10">
        <f t="shared" si="4"/>
        <v>3420</v>
      </c>
      <c r="I143" s="7">
        <v>2065.1516101356988</v>
      </c>
      <c r="J143" s="7">
        <f t="shared" si="5"/>
        <v>1354.8483898643012</v>
      </c>
      <c r="K143" s="1">
        <f>IF(B143="North",28.6,
IF(B143="South",13,
IF(B143="East",22.6,
IF(B143="West",19,
23.5))))</f>
        <v>22.6</v>
      </c>
      <c r="L143" s="1">
        <f>IF(B143="North",77.2,
IF(B143="South",80.2,
IF(B143="East",88.4,
IF(B143="West",72.8,
78.9))))</f>
        <v>88.4</v>
      </c>
    </row>
    <row r="144" spans="1:12" x14ac:dyDescent="0.25">
      <c r="A144" s="5">
        <v>45343</v>
      </c>
      <c r="B144" s="1" t="s">
        <v>13</v>
      </c>
      <c r="C144" s="1" t="s">
        <v>17</v>
      </c>
      <c r="D144" s="1" t="s">
        <v>32</v>
      </c>
      <c r="E144" s="10">
        <v>19</v>
      </c>
      <c r="F144" s="10">
        <v>852</v>
      </c>
      <c r="G144" s="1" t="s">
        <v>33</v>
      </c>
      <c r="H144" s="10">
        <f t="shared" si="4"/>
        <v>16188</v>
      </c>
      <c r="I144" s="7">
        <v>14329.51541191909</v>
      </c>
      <c r="J144" s="7">
        <f t="shared" si="5"/>
        <v>1858.4845880809098</v>
      </c>
      <c r="K144" s="1">
        <f>IF(B144="North",28.6,
IF(B144="South",13,
IF(B144="East",22.6,
IF(B144="West",19,
23.5))))</f>
        <v>13</v>
      </c>
      <c r="L144" s="1">
        <f>IF(B144="North",77.2,
IF(B144="South",80.2,
IF(B144="East",88.4,
IF(B144="West",72.8,
78.9))))</f>
        <v>80.2</v>
      </c>
    </row>
    <row r="145" spans="1:12" x14ac:dyDescent="0.25">
      <c r="A145" s="5">
        <v>45387</v>
      </c>
      <c r="B145" s="1" t="s">
        <v>13</v>
      </c>
      <c r="C145" s="1" t="s">
        <v>21</v>
      </c>
      <c r="D145" s="1" t="s">
        <v>36</v>
      </c>
      <c r="E145" s="10">
        <v>1</v>
      </c>
      <c r="F145" s="10">
        <v>611</v>
      </c>
      <c r="G145" s="1" t="s">
        <v>35</v>
      </c>
      <c r="H145" s="10">
        <f t="shared" si="4"/>
        <v>611</v>
      </c>
      <c r="I145" s="7">
        <v>512.63211232518574</v>
      </c>
      <c r="J145" s="7">
        <f t="shared" si="5"/>
        <v>98.367887674814256</v>
      </c>
      <c r="K145" s="1">
        <f>IF(B145="North",28.6,
IF(B145="South",13,
IF(B145="East",22.6,
IF(B145="West",19,
23.5))))</f>
        <v>13</v>
      </c>
      <c r="L145" s="1">
        <f>IF(B145="North",77.2,
IF(B145="South",80.2,
IF(B145="East",88.4,
IF(B145="West",72.8,
78.9))))</f>
        <v>80.2</v>
      </c>
    </row>
    <row r="146" spans="1:12" x14ac:dyDescent="0.25">
      <c r="A146" s="5">
        <v>45513</v>
      </c>
      <c r="B146" s="1" t="s">
        <v>13</v>
      </c>
      <c r="C146" s="1" t="s">
        <v>24</v>
      </c>
      <c r="D146" s="1" t="s">
        <v>28</v>
      </c>
      <c r="E146" s="10">
        <v>2</v>
      </c>
      <c r="F146" s="10">
        <v>948</v>
      </c>
      <c r="G146" s="1" t="s">
        <v>35</v>
      </c>
      <c r="H146" s="10">
        <f t="shared" si="4"/>
        <v>1896</v>
      </c>
      <c r="I146" s="7">
        <v>1246.815160886621</v>
      </c>
      <c r="J146" s="7">
        <f t="shared" si="5"/>
        <v>649.18483911337898</v>
      </c>
      <c r="K146" s="1">
        <f>IF(B146="North",28.6,
IF(B146="South",13,
IF(B146="East",22.6,
IF(B146="West",19,
23.5))))</f>
        <v>13</v>
      </c>
      <c r="L146" s="1">
        <f>IF(B146="North",77.2,
IF(B146="South",80.2,
IF(B146="East",88.4,
IF(B146="West",72.8,
78.9))))</f>
        <v>80.2</v>
      </c>
    </row>
    <row r="147" spans="1:12" x14ac:dyDescent="0.25">
      <c r="A147" s="5">
        <v>45522</v>
      </c>
      <c r="B147" s="1" t="s">
        <v>10</v>
      </c>
      <c r="C147" s="1" t="s">
        <v>23</v>
      </c>
      <c r="D147" s="1" t="s">
        <v>31</v>
      </c>
      <c r="E147" s="10">
        <v>16</v>
      </c>
      <c r="F147" s="10">
        <v>654</v>
      </c>
      <c r="G147" s="1" t="s">
        <v>34</v>
      </c>
      <c r="H147" s="10">
        <f t="shared" si="4"/>
        <v>10464</v>
      </c>
      <c r="I147" s="7">
        <v>7181.1452341215409</v>
      </c>
      <c r="J147" s="7">
        <f t="shared" si="5"/>
        <v>3282.8547658784591</v>
      </c>
      <c r="K147" s="1">
        <f>IF(B147="North",28.6,
IF(B147="South",13,
IF(B147="East",22.6,
IF(B147="West",19,
23.5))))</f>
        <v>28.6</v>
      </c>
      <c r="L147" s="1">
        <f>IF(B147="North",77.2,
IF(B147="South",80.2,
IF(B147="East",88.4,
IF(B147="West",72.8,
78.9))))</f>
        <v>77.2</v>
      </c>
    </row>
    <row r="148" spans="1:12" x14ac:dyDescent="0.25">
      <c r="A148" s="5">
        <v>45528</v>
      </c>
      <c r="B148" s="1" t="s">
        <v>10</v>
      </c>
      <c r="C148" s="1" t="s">
        <v>20</v>
      </c>
      <c r="D148" s="1" t="s">
        <v>25</v>
      </c>
      <c r="E148" s="10">
        <v>12</v>
      </c>
      <c r="F148" s="10">
        <v>1218</v>
      </c>
      <c r="G148" s="1" t="s">
        <v>33</v>
      </c>
      <c r="H148" s="10">
        <f t="shared" si="4"/>
        <v>14616</v>
      </c>
      <c r="I148" s="7">
        <v>13079.150465355629</v>
      </c>
      <c r="J148" s="7">
        <f t="shared" si="5"/>
        <v>1536.8495346443706</v>
      </c>
      <c r="K148" s="1">
        <f>IF(B148="North",28.6,
IF(B148="South",13,
IF(B148="East",22.6,
IF(B148="West",19,
23.5))))</f>
        <v>28.6</v>
      </c>
      <c r="L148" s="1">
        <f>IF(B148="North",77.2,
IF(B148="South",80.2,
IF(B148="East",88.4,
IF(B148="West",72.8,
78.9))))</f>
        <v>77.2</v>
      </c>
    </row>
    <row r="149" spans="1:12" x14ac:dyDescent="0.25">
      <c r="A149" s="5">
        <v>45434</v>
      </c>
      <c r="B149" s="1" t="s">
        <v>12</v>
      </c>
      <c r="C149" s="1" t="s">
        <v>17</v>
      </c>
      <c r="D149" s="1" t="s">
        <v>27</v>
      </c>
      <c r="E149" s="10">
        <v>10</v>
      </c>
      <c r="F149" s="10">
        <v>325</v>
      </c>
      <c r="G149" s="1" t="s">
        <v>33</v>
      </c>
      <c r="H149" s="10">
        <f t="shared" si="4"/>
        <v>3250</v>
      </c>
      <c r="I149" s="7">
        <f>H149*0.7</f>
        <v>2275</v>
      </c>
      <c r="J149" s="7">
        <f t="shared" si="5"/>
        <v>975</v>
      </c>
      <c r="K149" s="1">
        <f>IF(B149="North",28.6,
IF(B149="South",13,
IF(B149="East",22.6,
IF(B149="West",19,
23.5))))</f>
        <v>22.6</v>
      </c>
      <c r="L149" s="1">
        <f>IF(B149="North",77.2,
IF(B149="South",80.2,
IF(B149="East",88.4,
IF(B149="West",72.8,
78.9))))</f>
        <v>88.4</v>
      </c>
    </row>
    <row r="150" spans="1:12" x14ac:dyDescent="0.25">
      <c r="A150" s="5">
        <v>45462</v>
      </c>
      <c r="B150" s="1" t="s">
        <v>12</v>
      </c>
      <c r="C150" s="1" t="s">
        <v>22</v>
      </c>
      <c r="D150" s="1" t="s">
        <v>32</v>
      </c>
      <c r="E150" s="10">
        <v>18</v>
      </c>
      <c r="F150" s="10">
        <v>1641</v>
      </c>
      <c r="G150" s="1" t="s">
        <v>35</v>
      </c>
      <c r="H150" s="10">
        <f t="shared" si="4"/>
        <v>29538</v>
      </c>
      <c r="I150" s="7">
        <v>24667.67729816469</v>
      </c>
      <c r="J150" s="7">
        <f t="shared" si="5"/>
        <v>4870.32270183531</v>
      </c>
      <c r="K150" s="1">
        <f>IF(B150="North",28.6,
IF(B150="South",13,
IF(B150="East",22.6,
IF(B150="West",19,
23.5))))</f>
        <v>22.6</v>
      </c>
      <c r="L150" s="1">
        <f>IF(B150="North",77.2,
IF(B150="South",80.2,
IF(B150="East",88.4,
IF(B150="West",72.8,
78.9))))</f>
        <v>88.4</v>
      </c>
    </row>
    <row r="151" spans="1:12" x14ac:dyDescent="0.25">
      <c r="A151" s="5">
        <v>45320</v>
      </c>
      <c r="B151" s="1" t="s">
        <v>10</v>
      </c>
      <c r="C151" s="1" t="s">
        <v>18</v>
      </c>
      <c r="D151" s="1" t="s">
        <v>26</v>
      </c>
      <c r="E151" s="10">
        <v>2</v>
      </c>
      <c r="F151" s="10">
        <v>313</v>
      </c>
      <c r="G151" s="1" t="s">
        <v>34</v>
      </c>
      <c r="H151" s="10">
        <f t="shared" si="4"/>
        <v>626</v>
      </c>
      <c r="I151" s="7">
        <v>459.51194496913598</v>
      </c>
      <c r="J151" s="7">
        <f t="shared" si="5"/>
        <v>166.48805503086402</v>
      </c>
      <c r="K151" s="1">
        <f>IF(B151="North",28.6,
IF(B151="South",13,
IF(B151="East",22.6,
IF(B151="West",19,
23.5))))</f>
        <v>28.6</v>
      </c>
      <c r="L151" s="1">
        <f>IF(B151="North",77.2,
IF(B151="South",80.2,
IF(B151="East",88.4,
IF(B151="West",72.8,
78.9))))</f>
        <v>77.2</v>
      </c>
    </row>
    <row r="152" spans="1:12" x14ac:dyDescent="0.25">
      <c r="A152" s="5">
        <v>45327</v>
      </c>
      <c r="B152" s="1" t="s">
        <v>12</v>
      </c>
      <c r="C152" s="1" t="s">
        <v>20</v>
      </c>
      <c r="D152" s="1" t="s">
        <v>26</v>
      </c>
      <c r="E152" s="10">
        <v>13</v>
      </c>
      <c r="F152" s="10">
        <v>817</v>
      </c>
      <c r="G152" s="1" t="s">
        <v>33</v>
      </c>
      <c r="H152" s="10">
        <f t="shared" si="4"/>
        <v>10621</v>
      </c>
      <c r="I152" s="7">
        <v>9125.8688429617741</v>
      </c>
      <c r="J152" s="7">
        <f t="shared" si="5"/>
        <v>1495.1311570382259</v>
      </c>
      <c r="K152" s="1">
        <f>IF(B152="North",28.6,
IF(B152="South",13,
IF(B152="East",22.6,
IF(B152="West",19,
23.5))))</f>
        <v>22.6</v>
      </c>
      <c r="L152" s="1">
        <f>IF(B152="North",77.2,
IF(B152="South",80.2,
IF(B152="East",88.4,
IF(B152="West",72.8,
78.9))))</f>
        <v>88.4</v>
      </c>
    </row>
    <row r="153" spans="1:12" x14ac:dyDescent="0.25">
      <c r="A153" s="5">
        <v>45304</v>
      </c>
      <c r="B153" s="1" t="s">
        <v>10</v>
      </c>
      <c r="C153" s="1" t="s">
        <v>22</v>
      </c>
      <c r="D153" s="1" t="s">
        <v>27</v>
      </c>
      <c r="E153" s="10">
        <v>6</v>
      </c>
      <c r="F153" s="10">
        <v>166</v>
      </c>
      <c r="G153" s="1" t="s">
        <v>35</v>
      </c>
      <c r="H153" s="10">
        <f t="shared" si="4"/>
        <v>996</v>
      </c>
      <c r="I153" s="7">
        <v>807.88154823865887</v>
      </c>
      <c r="J153" s="7">
        <f t="shared" si="5"/>
        <v>188.11845176134113</v>
      </c>
      <c r="K153" s="1">
        <f>IF(B153="North",28.6,
IF(B153="South",13,
IF(B153="East",22.6,
IF(B153="West",19,
23.5))))</f>
        <v>28.6</v>
      </c>
      <c r="L153" s="1">
        <f>IF(B153="North",77.2,
IF(B153="South",80.2,
IF(B153="East",88.4,
IF(B153="West",72.8,
78.9))))</f>
        <v>77.2</v>
      </c>
    </row>
    <row r="154" spans="1:12" x14ac:dyDescent="0.25">
      <c r="A154" s="5">
        <v>45451</v>
      </c>
      <c r="B154" s="1" t="s">
        <v>11</v>
      </c>
      <c r="C154" s="1" t="s">
        <v>21</v>
      </c>
      <c r="D154" s="1" t="s">
        <v>26</v>
      </c>
      <c r="E154" s="10">
        <v>6</v>
      </c>
      <c r="F154" s="10">
        <v>495</v>
      </c>
      <c r="G154" s="1" t="s">
        <v>35</v>
      </c>
      <c r="H154" s="10">
        <f t="shared" si="4"/>
        <v>2970</v>
      </c>
      <c r="I154" s="7">
        <v>1802.412863363023</v>
      </c>
      <c r="J154" s="7">
        <f t="shared" si="5"/>
        <v>1167.587136636977</v>
      </c>
      <c r="K154" s="1">
        <f>IF(B154="North",28.6,
IF(B154="South",13,
IF(B154="East",22.6,
IF(B154="West",19,
23.5))))</f>
        <v>19</v>
      </c>
      <c r="L154" s="1">
        <f>IF(B154="North",77.2,
IF(B154="South",80.2,
IF(B154="East",88.4,
IF(B154="West",72.8,
78.9))))</f>
        <v>72.8</v>
      </c>
    </row>
    <row r="155" spans="1:12" x14ac:dyDescent="0.25">
      <c r="A155" s="5">
        <v>45618</v>
      </c>
      <c r="B155" s="1" t="s">
        <v>13</v>
      </c>
      <c r="C155" s="1" t="s">
        <v>19</v>
      </c>
      <c r="D155" s="1" t="s">
        <v>30</v>
      </c>
      <c r="E155" s="10">
        <v>10</v>
      </c>
      <c r="F155" s="10">
        <v>711</v>
      </c>
      <c r="G155" s="1" t="s">
        <v>35</v>
      </c>
      <c r="H155" s="10">
        <f t="shared" si="4"/>
        <v>7110</v>
      </c>
      <c r="I155" s="7">
        <f>H155*0.7</f>
        <v>4977</v>
      </c>
      <c r="J155" s="7">
        <f t="shared" si="5"/>
        <v>2133</v>
      </c>
      <c r="K155" s="1">
        <f>IF(B155="North",28.6,
IF(B155="South",13,
IF(B155="East",22.6,
IF(B155="West",19,
23.5))))</f>
        <v>13</v>
      </c>
      <c r="L155" s="1">
        <f>IF(B155="North",77.2,
IF(B155="South",80.2,
IF(B155="East",88.4,
IF(B155="West",72.8,
78.9))))</f>
        <v>80.2</v>
      </c>
    </row>
    <row r="156" spans="1:12" x14ac:dyDescent="0.25">
      <c r="A156" s="5">
        <v>45478</v>
      </c>
      <c r="B156" s="1" t="s">
        <v>13</v>
      </c>
      <c r="C156" s="1" t="s">
        <v>20</v>
      </c>
      <c r="D156" s="1" t="s">
        <v>32</v>
      </c>
      <c r="E156" s="10">
        <v>16</v>
      </c>
      <c r="F156" s="10">
        <v>1135</v>
      </c>
      <c r="G156" s="1" t="s">
        <v>33</v>
      </c>
      <c r="H156" s="10">
        <f t="shared" si="4"/>
        <v>18160</v>
      </c>
      <c r="I156" s="7">
        <v>13935.94213153953</v>
      </c>
      <c r="J156" s="7">
        <f t="shared" si="5"/>
        <v>4224.0578684604698</v>
      </c>
      <c r="K156" s="1">
        <f>IF(B156="North",28.6,
IF(B156="South",13,
IF(B156="East",22.6,
IF(B156="West",19,
23.5))))</f>
        <v>13</v>
      </c>
      <c r="L156" s="1">
        <f>IF(B156="North",77.2,
IF(B156="South",80.2,
IF(B156="East",88.4,
IF(B156="West",72.8,
78.9))))</f>
        <v>80.2</v>
      </c>
    </row>
    <row r="157" spans="1:12" x14ac:dyDescent="0.25">
      <c r="A157" s="5">
        <v>45534</v>
      </c>
      <c r="B157" s="1" t="s">
        <v>12</v>
      </c>
      <c r="C157" s="1" t="s">
        <v>21</v>
      </c>
      <c r="D157" s="1" t="s">
        <v>27</v>
      </c>
      <c r="E157" s="10">
        <v>11</v>
      </c>
      <c r="F157" s="10">
        <v>1360</v>
      </c>
      <c r="G157" s="1" t="s">
        <v>35</v>
      </c>
      <c r="H157" s="10">
        <f t="shared" si="4"/>
        <v>14960</v>
      </c>
      <c r="I157" s="7">
        <v>13132.669109785051</v>
      </c>
      <c r="J157" s="7">
        <f t="shared" si="5"/>
        <v>1827.3308902149492</v>
      </c>
      <c r="K157" s="1">
        <f>IF(B157="North",28.6,
IF(B157="South",13,
IF(B157="East",22.6,
IF(B157="West",19,
23.5))))</f>
        <v>22.6</v>
      </c>
      <c r="L157" s="1">
        <f>IF(B157="North",77.2,
IF(B157="South",80.2,
IF(B157="East",88.4,
IF(B157="West",72.8,
78.9))))</f>
        <v>88.4</v>
      </c>
    </row>
    <row r="158" spans="1:12" x14ac:dyDescent="0.25">
      <c r="A158" s="5">
        <v>45377</v>
      </c>
      <c r="B158" s="1" t="s">
        <v>10</v>
      </c>
      <c r="C158" s="1" t="s">
        <v>22</v>
      </c>
      <c r="D158" s="1" t="s">
        <v>31</v>
      </c>
      <c r="E158" s="10">
        <v>7</v>
      </c>
      <c r="F158" s="10">
        <v>1957</v>
      </c>
      <c r="G158" s="1" t="s">
        <v>35</v>
      </c>
      <c r="H158" s="10">
        <f t="shared" si="4"/>
        <v>13699</v>
      </c>
      <c r="I158" s="7">
        <v>8638.7122580081323</v>
      </c>
      <c r="J158" s="7">
        <f t="shared" si="5"/>
        <v>5060.2877419918677</v>
      </c>
      <c r="K158" s="1">
        <f>IF(B158="North",28.6,
IF(B158="South",13,
IF(B158="East",22.6,
IF(B158="West",19,
23.5))))</f>
        <v>28.6</v>
      </c>
      <c r="L158" s="1">
        <f>IF(B158="North",77.2,
IF(B158="South",80.2,
IF(B158="East",88.4,
IF(B158="West",72.8,
78.9))))</f>
        <v>77.2</v>
      </c>
    </row>
    <row r="159" spans="1:12" x14ac:dyDescent="0.25">
      <c r="A159" s="5">
        <v>45575</v>
      </c>
      <c r="B159" s="1" t="s">
        <v>10</v>
      </c>
      <c r="C159" s="1" t="s">
        <v>24</v>
      </c>
      <c r="D159" s="1" t="s">
        <v>32</v>
      </c>
      <c r="E159" s="10">
        <v>10</v>
      </c>
      <c r="F159" s="10">
        <v>869</v>
      </c>
      <c r="G159" s="1" t="s">
        <v>35</v>
      </c>
      <c r="H159" s="10">
        <f t="shared" si="4"/>
        <v>8690</v>
      </c>
      <c r="I159" s="7">
        <v>6781.2307358127518</v>
      </c>
      <c r="J159" s="7">
        <f t="shared" si="5"/>
        <v>1908.7692641872482</v>
      </c>
      <c r="K159" s="1">
        <f>IF(B159="North",28.6,
IF(B159="South",13,
IF(B159="East",22.6,
IF(B159="West",19,
23.5))))</f>
        <v>28.6</v>
      </c>
      <c r="L159" s="1">
        <f>IF(B159="North",77.2,
IF(B159="South",80.2,
IF(B159="East",88.4,
IF(B159="West",72.8,
78.9))))</f>
        <v>77.2</v>
      </c>
    </row>
    <row r="160" spans="1:12" x14ac:dyDescent="0.25">
      <c r="A160" s="5">
        <v>45357</v>
      </c>
      <c r="B160" s="1" t="s">
        <v>12</v>
      </c>
      <c r="C160" s="1" t="s">
        <v>24</v>
      </c>
      <c r="D160" s="1" t="s">
        <v>27</v>
      </c>
      <c r="E160" s="10">
        <v>10</v>
      </c>
      <c r="F160" s="10">
        <v>1522</v>
      </c>
      <c r="G160" s="1" t="s">
        <v>35</v>
      </c>
      <c r="H160" s="10">
        <f t="shared" si="4"/>
        <v>15220</v>
      </c>
      <c r="I160" s="7">
        <v>10511.73895563019</v>
      </c>
      <c r="J160" s="7">
        <f t="shared" si="5"/>
        <v>4708.2610443698104</v>
      </c>
      <c r="K160" s="1">
        <f>IF(B160="North",28.6,
IF(B160="South",13,
IF(B160="East",22.6,
IF(B160="West",19,
23.5))))</f>
        <v>22.6</v>
      </c>
      <c r="L160" s="1">
        <f>IF(B160="North",77.2,
IF(B160="South",80.2,
IF(B160="East",88.4,
IF(B160="West",72.8,
78.9))))</f>
        <v>88.4</v>
      </c>
    </row>
    <row r="161" spans="1:12" x14ac:dyDescent="0.25">
      <c r="A161" s="5">
        <v>45461</v>
      </c>
      <c r="B161" s="1" t="s">
        <v>10</v>
      </c>
      <c r="C161" s="1" t="s">
        <v>19</v>
      </c>
      <c r="D161" s="1" t="s">
        <v>36</v>
      </c>
      <c r="E161" s="10">
        <v>18</v>
      </c>
      <c r="F161" s="10">
        <v>506</v>
      </c>
      <c r="G161" s="1" t="s">
        <v>35</v>
      </c>
      <c r="H161" s="10">
        <f t="shared" si="4"/>
        <v>9108</v>
      </c>
      <c r="I161" s="7">
        <v>7894.7992315899191</v>
      </c>
      <c r="J161" s="7">
        <f t="shared" si="5"/>
        <v>1213.2007684100809</v>
      </c>
      <c r="K161" s="1">
        <f>IF(B161="North",28.6,
IF(B161="South",13,
IF(B161="East",22.6,
IF(B161="West",19,
23.5))))</f>
        <v>28.6</v>
      </c>
      <c r="L161" s="1">
        <f>IF(B161="North",77.2,
IF(B161="South",80.2,
IF(B161="East",88.4,
IF(B161="West",72.8,
78.9))))</f>
        <v>77.2</v>
      </c>
    </row>
    <row r="162" spans="1:12" x14ac:dyDescent="0.25">
      <c r="A162" s="5">
        <v>45336</v>
      </c>
      <c r="B162" s="1" t="s">
        <v>11</v>
      </c>
      <c r="C162" s="1" t="s">
        <v>18</v>
      </c>
      <c r="D162" s="1" t="s">
        <v>25</v>
      </c>
      <c r="E162" s="10">
        <v>9</v>
      </c>
      <c r="F162" s="10">
        <v>1024</v>
      </c>
      <c r="G162" s="1" t="s">
        <v>34</v>
      </c>
      <c r="H162" s="10">
        <f t="shared" si="4"/>
        <v>9216</v>
      </c>
      <c r="I162" s="7">
        <v>7645.1409367838569</v>
      </c>
      <c r="J162" s="7">
        <f t="shared" si="5"/>
        <v>1570.8590632161431</v>
      </c>
      <c r="K162" s="1">
        <f>IF(B162="North",28.6,
IF(B162="South",13,
IF(B162="East",22.6,
IF(B162="West",19,
23.5))))</f>
        <v>19</v>
      </c>
      <c r="L162" s="1">
        <f>IF(B162="North",77.2,
IF(B162="South",80.2,
IF(B162="East",88.4,
IF(B162="West",72.8,
78.9))))</f>
        <v>72.8</v>
      </c>
    </row>
    <row r="163" spans="1:12" x14ac:dyDescent="0.25">
      <c r="A163" s="5">
        <v>45353</v>
      </c>
      <c r="B163" s="1" t="s">
        <v>13</v>
      </c>
      <c r="C163" s="1" t="s">
        <v>20</v>
      </c>
      <c r="D163" s="1" t="s">
        <v>31</v>
      </c>
      <c r="E163" s="10">
        <v>15</v>
      </c>
      <c r="F163" s="10">
        <v>1972</v>
      </c>
      <c r="G163" s="1" t="s">
        <v>33</v>
      </c>
      <c r="H163" s="10">
        <f t="shared" si="4"/>
        <v>29580</v>
      </c>
      <c r="I163" s="7">
        <v>21028.741955110399</v>
      </c>
      <c r="J163" s="7">
        <f t="shared" si="5"/>
        <v>8551.2580448896006</v>
      </c>
      <c r="K163" s="1">
        <f>IF(B163="North",28.6,
IF(B163="South",13,
IF(B163="East",22.6,
IF(B163="West",19,
23.5))))</f>
        <v>13</v>
      </c>
      <c r="L163" s="1">
        <f>IF(B163="North",77.2,
IF(B163="South",80.2,
IF(B163="East",88.4,
IF(B163="West",72.8,
78.9))))</f>
        <v>80.2</v>
      </c>
    </row>
    <row r="164" spans="1:12" x14ac:dyDescent="0.25">
      <c r="A164" s="5">
        <v>45425</v>
      </c>
      <c r="B164" s="1" t="s">
        <v>12</v>
      </c>
      <c r="C164" s="1" t="s">
        <v>20</v>
      </c>
      <c r="D164" s="1" t="s">
        <v>25</v>
      </c>
      <c r="E164" s="10">
        <v>4</v>
      </c>
      <c r="F164" s="10">
        <v>1603</v>
      </c>
      <c r="G164" s="1" t="s">
        <v>33</v>
      </c>
      <c r="H164" s="10">
        <f t="shared" si="4"/>
        <v>6412</v>
      </c>
      <c r="I164" s="7">
        <v>4168.6396460946089</v>
      </c>
      <c r="J164" s="7">
        <f t="shared" si="5"/>
        <v>2243.3603539053911</v>
      </c>
      <c r="K164" s="1">
        <f>IF(B164="North",28.6,
IF(B164="South",13,
IF(B164="East",22.6,
IF(B164="West",19,
23.5))))</f>
        <v>22.6</v>
      </c>
      <c r="L164" s="1">
        <f>IF(B164="North",77.2,
IF(B164="South",80.2,
IF(B164="East",88.4,
IF(B164="West",72.8,
78.9))))</f>
        <v>88.4</v>
      </c>
    </row>
    <row r="165" spans="1:12" x14ac:dyDescent="0.25">
      <c r="A165" s="5">
        <v>45575</v>
      </c>
      <c r="B165" s="1" t="s">
        <v>12</v>
      </c>
      <c r="C165" s="1" t="s">
        <v>20</v>
      </c>
      <c r="D165" s="1" t="s">
        <v>28</v>
      </c>
      <c r="E165" s="10">
        <v>8</v>
      </c>
      <c r="F165" s="10">
        <v>746</v>
      </c>
      <c r="G165" s="1" t="s">
        <v>33</v>
      </c>
      <c r="H165" s="10">
        <f t="shared" si="4"/>
        <v>5968</v>
      </c>
      <c r="I165" s="7">
        <v>3601.3859697801222</v>
      </c>
      <c r="J165" s="7">
        <f t="shared" si="5"/>
        <v>2366.6140302198778</v>
      </c>
      <c r="K165" s="1">
        <f>IF(B165="North",28.6,
IF(B165="South",13,
IF(B165="East",22.6,
IF(B165="West",19,
23.5))))</f>
        <v>22.6</v>
      </c>
      <c r="L165" s="1">
        <f>IF(B165="North",77.2,
IF(B165="South",80.2,
IF(B165="East",88.4,
IF(B165="West",72.8,
78.9))))</f>
        <v>88.4</v>
      </c>
    </row>
    <row r="166" spans="1:12" x14ac:dyDescent="0.25">
      <c r="A166" s="5">
        <v>45319</v>
      </c>
      <c r="B166" s="1" t="s">
        <v>10</v>
      </c>
      <c r="C166" s="1" t="s">
        <v>18</v>
      </c>
      <c r="D166" s="1" t="s">
        <v>32</v>
      </c>
      <c r="E166" s="10">
        <v>9</v>
      </c>
      <c r="F166" s="10">
        <v>321</v>
      </c>
      <c r="G166" s="1" t="s">
        <v>34</v>
      </c>
      <c r="H166" s="10">
        <f t="shared" si="4"/>
        <v>2889</v>
      </c>
      <c r="I166" s="7">
        <v>2271.7372283973782</v>
      </c>
      <c r="J166" s="7">
        <f t="shared" si="5"/>
        <v>617.2627716026218</v>
      </c>
      <c r="K166" s="1">
        <f>IF(B166="North",28.6,
IF(B166="South",13,
IF(B166="East",22.6,
IF(B166="West",19,
23.5))))</f>
        <v>28.6</v>
      </c>
      <c r="L166" s="1">
        <f>IF(B166="North",77.2,
IF(B166="South",80.2,
IF(B166="East",88.4,
IF(B166="West",72.8,
78.9))))</f>
        <v>77.2</v>
      </c>
    </row>
    <row r="167" spans="1:12" x14ac:dyDescent="0.25">
      <c r="A167" s="5">
        <v>45399</v>
      </c>
      <c r="B167" s="1" t="s">
        <v>12</v>
      </c>
      <c r="C167" s="1" t="s">
        <v>21</v>
      </c>
      <c r="D167" s="1" t="s">
        <v>31</v>
      </c>
      <c r="E167" s="10">
        <v>13</v>
      </c>
      <c r="F167" s="10">
        <v>1279</v>
      </c>
      <c r="G167" s="1" t="s">
        <v>35</v>
      </c>
      <c r="H167" s="10">
        <f t="shared" si="4"/>
        <v>16627</v>
      </c>
      <c r="I167" s="7">
        <v>12001.98616484541</v>
      </c>
      <c r="J167" s="7">
        <f t="shared" si="5"/>
        <v>4625.0138351545902</v>
      </c>
      <c r="K167" s="1">
        <f>IF(B167="North",28.6,
IF(B167="South",13,
IF(B167="East",22.6,
IF(B167="West",19,
23.5))))</f>
        <v>22.6</v>
      </c>
      <c r="L167" s="1">
        <f>IF(B167="North",77.2,
IF(B167="South",80.2,
IF(B167="East",88.4,
IF(B167="West",72.8,
78.9))))</f>
        <v>88.4</v>
      </c>
    </row>
    <row r="168" spans="1:12" x14ac:dyDescent="0.25">
      <c r="A168" s="5">
        <v>45335</v>
      </c>
      <c r="B168" s="1" t="s">
        <v>11</v>
      </c>
      <c r="C168" s="1" t="s">
        <v>23</v>
      </c>
      <c r="D168" s="1" t="s">
        <v>25</v>
      </c>
      <c r="E168" s="10">
        <v>9</v>
      </c>
      <c r="F168" s="10">
        <v>753</v>
      </c>
      <c r="G168" s="1" t="s">
        <v>34</v>
      </c>
      <c r="H168" s="10">
        <f t="shared" si="4"/>
        <v>6777</v>
      </c>
      <c r="I168" s="7">
        <v>4706.1314256352298</v>
      </c>
      <c r="J168" s="7">
        <f t="shared" si="5"/>
        <v>2070.8685743647702</v>
      </c>
      <c r="K168" s="1">
        <f>IF(B168="North",28.6,
IF(B168="South",13,
IF(B168="East",22.6,
IF(B168="West",19,
23.5))))</f>
        <v>19</v>
      </c>
      <c r="L168" s="1">
        <f>IF(B168="North",77.2,
IF(B168="South",80.2,
IF(B168="East",88.4,
IF(B168="West",72.8,
78.9))))</f>
        <v>72.8</v>
      </c>
    </row>
    <row r="169" spans="1:12" x14ac:dyDescent="0.25">
      <c r="A169" s="5">
        <v>45631</v>
      </c>
      <c r="B169" s="1" t="s">
        <v>10</v>
      </c>
      <c r="C169" s="1" t="s">
        <v>23</v>
      </c>
      <c r="D169" s="1" t="s">
        <v>26</v>
      </c>
      <c r="E169" s="10">
        <v>4</v>
      </c>
      <c r="F169" s="10">
        <v>527</v>
      </c>
      <c r="G169" s="1" t="s">
        <v>34</v>
      </c>
      <c r="H169" s="10">
        <f t="shared" si="4"/>
        <v>2108</v>
      </c>
      <c r="I169" s="7">
        <v>1888.0316492311349</v>
      </c>
      <c r="J169" s="7">
        <f t="shared" si="5"/>
        <v>219.96835076886509</v>
      </c>
      <c r="K169" s="1">
        <f>IF(B169="North",28.6,
IF(B169="South",13,
IF(B169="East",22.6,
IF(B169="West",19,
23.5))))</f>
        <v>28.6</v>
      </c>
      <c r="L169" s="1">
        <f>IF(B169="North",77.2,
IF(B169="South",80.2,
IF(B169="East",88.4,
IF(B169="West",72.8,
78.9))))</f>
        <v>77.2</v>
      </c>
    </row>
    <row r="170" spans="1:12" x14ac:dyDescent="0.25">
      <c r="A170" s="5">
        <v>45577</v>
      </c>
      <c r="B170" s="1" t="s">
        <v>10</v>
      </c>
      <c r="C170" s="1" t="s">
        <v>19</v>
      </c>
      <c r="D170" s="1" t="s">
        <v>25</v>
      </c>
      <c r="E170" s="10">
        <v>17</v>
      </c>
      <c r="F170" s="10">
        <v>1281</v>
      </c>
      <c r="G170" s="1" t="s">
        <v>35</v>
      </c>
      <c r="H170" s="10">
        <f t="shared" si="4"/>
        <v>21777</v>
      </c>
      <c r="I170" s="7">
        <v>16111.5531858291</v>
      </c>
      <c r="J170" s="7">
        <f t="shared" si="5"/>
        <v>5665.4468141709003</v>
      </c>
      <c r="K170" s="1">
        <f>IF(B170="North",28.6,
IF(B170="South",13,
IF(B170="East",22.6,
IF(B170="West",19,
23.5))))</f>
        <v>28.6</v>
      </c>
      <c r="L170" s="1">
        <f>IF(B170="North",77.2,
IF(B170="South",80.2,
IF(B170="East",88.4,
IF(B170="West",72.8,
78.9))))</f>
        <v>77.2</v>
      </c>
    </row>
    <row r="171" spans="1:12" x14ac:dyDescent="0.25">
      <c r="A171" s="5">
        <v>45622</v>
      </c>
      <c r="B171" s="1" t="s">
        <v>10</v>
      </c>
      <c r="C171" s="1" t="s">
        <v>20</v>
      </c>
      <c r="D171" s="1" t="s">
        <v>27</v>
      </c>
      <c r="E171" s="10">
        <v>16</v>
      </c>
      <c r="F171" s="10">
        <v>1076</v>
      </c>
      <c r="G171" s="1" t="s">
        <v>33</v>
      </c>
      <c r="H171" s="10">
        <f t="shared" si="4"/>
        <v>17216</v>
      </c>
      <c r="I171" s="7">
        <v>14202.36993217189</v>
      </c>
      <c r="J171" s="7">
        <f t="shared" si="5"/>
        <v>3013.6300678281095</v>
      </c>
      <c r="K171" s="1">
        <f>IF(B171="North",28.6,
IF(B171="South",13,
IF(B171="East",22.6,
IF(B171="West",19,
23.5))))</f>
        <v>28.6</v>
      </c>
      <c r="L171" s="1">
        <f>IF(B171="North",77.2,
IF(B171="South",80.2,
IF(B171="East",88.4,
IF(B171="West",72.8,
78.9))))</f>
        <v>77.2</v>
      </c>
    </row>
    <row r="172" spans="1:12" x14ac:dyDescent="0.25">
      <c r="A172" s="5">
        <v>45419</v>
      </c>
      <c r="B172" s="1" t="s">
        <v>10</v>
      </c>
      <c r="C172" s="1" t="s">
        <v>21</v>
      </c>
      <c r="D172" s="1" t="s">
        <v>32</v>
      </c>
      <c r="E172" s="10">
        <v>15</v>
      </c>
      <c r="F172" s="10">
        <v>1539</v>
      </c>
      <c r="G172" s="1" t="s">
        <v>35</v>
      </c>
      <c r="H172" s="10">
        <f t="shared" si="4"/>
        <v>23085</v>
      </c>
      <c r="I172" s="7">
        <v>15079.669695673439</v>
      </c>
      <c r="J172" s="7">
        <f t="shared" si="5"/>
        <v>8005.3303043265605</v>
      </c>
      <c r="K172" s="1">
        <f>IF(B172="North",28.6,
IF(B172="South",13,
IF(B172="East",22.6,
IF(B172="West",19,
23.5))))</f>
        <v>28.6</v>
      </c>
      <c r="L172" s="1">
        <f>IF(B172="North",77.2,
IF(B172="South",80.2,
IF(B172="East",88.4,
IF(B172="West",72.8,
78.9))))</f>
        <v>77.2</v>
      </c>
    </row>
    <row r="173" spans="1:12" x14ac:dyDescent="0.25">
      <c r="A173" s="5">
        <v>45639</v>
      </c>
      <c r="B173" s="1" t="s">
        <v>11</v>
      </c>
      <c r="C173" s="1" t="s">
        <v>24</v>
      </c>
      <c r="D173" s="1" t="s">
        <v>30</v>
      </c>
      <c r="E173" s="10">
        <v>3</v>
      </c>
      <c r="F173" s="10">
        <v>1073.5</v>
      </c>
      <c r="G173" s="1" t="s">
        <v>35</v>
      </c>
      <c r="H173" s="10">
        <f t="shared" si="4"/>
        <v>3220.5</v>
      </c>
      <c r="I173" s="7">
        <f>H173*0.7</f>
        <v>2254.35</v>
      </c>
      <c r="J173" s="7">
        <f t="shared" si="5"/>
        <v>966.15000000000009</v>
      </c>
      <c r="K173" s="1">
        <f>IF(B173="North",28.6,
IF(B173="South",13,
IF(B173="East",22.6,
IF(B173="West",19,
23.5))))</f>
        <v>19</v>
      </c>
      <c r="L173" s="1">
        <f>IF(B173="North",77.2,
IF(B173="South",80.2,
IF(B173="East",88.4,
IF(B173="West",72.8,
78.9))))</f>
        <v>72.8</v>
      </c>
    </row>
    <row r="174" spans="1:12" x14ac:dyDescent="0.25">
      <c r="A174" s="5">
        <v>45522</v>
      </c>
      <c r="B174" s="1" t="s">
        <v>10</v>
      </c>
      <c r="C174" s="1" t="s">
        <v>22</v>
      </c>
      <c r="D174" s="1" t="s">
        <v>25</v>
      </c>
      <c r="E174" s="10">
        <v>5</v>
      </c>
      <c r="F174" s="10">
        <v>1449</v>
      </c>
      <c r="G174" s="1" t="s">
        <v>35</v>
      </c>
      <c r="H174" s="10">
        <f t="shared" si="4"/>
        <v>7245</v>
      </c>
      <c r="I174" s="7">
        <v>5254.572353370263</v>
      </c>
      <c r="J174" s="7">
        <f t="shared" si="5"/>
        <v>1990.427646629737</v>
      </c>
      <c r="K174" s="1">
        <f>IF(B174="North",28.6,
IF(B174="South",13,
IF(B174="East",22.6,
IF(B174="West",19,
23.5))))</f>
        <v>28.6</v>
      </c>
      <c r="L174" s="1">
        <f>IF(B174="North",77.2,
IF(B174="South",80.2,
IF(B174="East",88.4,
IF(B174="West",72.8,
78.9))))</f>
        <v>77.2</v>
      </c>
    </row>
    <row r="175" spans="1:12" x14ac:dyDescent="0.25">
      <c r="A175" s="5">
        <v>45481</v>
      </c>
      <c r="B175" s="1" t="s">
        <v>12</v>
      </c>
      <c r="C175" s="1" t="s">
        <v>21</v>
      </c>
      <c r="D175" s="1" t="s">
        <v>31</v>
      </c>
      <c r="E175" s="10">
        <v>5</v>
      </c>
      <c r="F175" s="10">
        <v>470</v>
      </c>
      <c r="G175" s="1" t="s">
        <v>35</v>
      </c>
      <c r="H175" s="10">
        <f t="shared" si="4"/>
        <v>2350</v>
      </c>
      <c r="I175" s="7">
        <v>1879.2937086345769</v>
      </c>
      <c r="J175" s="7">
        <f t="shared" si="5"/>
        <v>470.70629136542311</v>
      </c>
      <c r="K175" s="1">
        <f>IF(B175="North",28.6,
IF(B175="South",13,
IF(B175="East",22.6,
IF(B175="West",19,
23.5))))</f>
        <v>22.6</v>
      </c>
      <c r="L175" s="1">
        <f>IF(B175="North",77.2,
IF(B175="South",80.2,
IF(B175="East",88.4,
IF(B175="West",72.8,
78.9))))</f>
        <v>88.4</v>
      </c>
    </row>
    <row r="176" spans="1:12" x14ac:dyDescent="0.25">
      <c r="A176" s="5">
        <v>45516</v>
      </c>
      <c r="B176" s="1" t="s">
        <v>11</v>
      </c>
      <c r="C176" s="1" t="s">
        <v>18</v>
      </c>
      <c r="D176" s="1" t="s">
        <v>31</v>
      </c>
      <c r="E176" s="10">
        <v>15</v>
      </c>
      <c r="F176" s="10">
        <v>1467</v>
      </c>
      <c r="G176" s="1" t="s">
        <v>34</v>
      </c>
      <c r="H176" s="10">
        <f t="shared" si="4"/>
        <v>22005</v>
      </c>
      <c r="I176" s="7">
        <v>16547.311292855109</v>
      </c>
      <c r="J176" s="7">
        <f t="shared" si="5"/>
        <v>5457.6887071448909</v>
      </c>
      <c r="K176" s="1">
        <f>IF(B176="North",28.6,
IF(B176="South",13,
IF(B176="East",22.6,
IF(B176="West",19,
23.5))))</f>
        <v>19</v>
      </c>
      <c r="L176" s="1">
        <f>IF(B176="North",77.2,
IF(B176="South",80.2,
IF(B176="East",88.4,
IF(B176="West",72.8,
78.9))))</f>
        <v>72.8</v>
      </c>
    </row>
    <row r="177" spans="1:12" x14ac:dyDescent="0.25">
      <c r="A177" s="5">
        <v>45574</v>
      </c>
      <c r="B177" s="1" t="s">
        <v>13</v>
      </c>
      <c r="C177" s="1" t="s">
        <v>23</v>
      </c>
      <c r="D177" s="1" t="s">
        <v>29</v>
      </c>
      <c r="E177" s="10">
        <v>18</v>
      </c>
      <c r="F177" s="10">
        <v>1385</v>
      </c>
      <c r="G177" s="1" t="s">
        <v>34</v>
      </c>
      <c r="H177" s="10">
        <f t="shared" si="4"/>
        <v>24930</v>
      </c>
      <c r="I177" s="7">
        <v>21617.797140772818</v>
      </c>
      <c r="J177" s="7">
        <f t="shared" si="5"/>
        <v>3312.2028592271818</v>
      </c>
      <c r="K177" s="1">
        <f>IF(B177="North",28.6,
IF(B177="South",13,
IF(B177="East",22.6,
IF(B177="West",19,
23.5))))</f>
        <v>13</v>
      </c>
      <c r="L177" s="1">
        <f>IF(B177="North",77.2,
IF(B177="South",80.2,
IF(B177="East",88.4,
IF(B177="West",72.8,
78.9))))</f>
        <v>80.2</v>
      </c>
    </row>
    <row r="178" spans="1:12" x14ac:dyDescent="0.25">
      <c r="A178" s="5">
        <v>45412</v>
      </c>
      <c r="B178" s="1" t="s">
        <v>13</v>
      </c>
      <c r="C178" s="1" t="s">
        <v>23</v>
      </c>
      <c r="D178" s="1" t="s">
        <v>25</v>
      </c>
      <c r="E178" s="10">
        <v>15</v>
      </c>
      <c r="F178" s="10">
        <v>1406</v>
      </c>
      <c r="G178" s="1" t="s">
        <v>34</v>
      </c>
      <c r="H178" s="10">
        <f t="shared" si="4"/>
        <v>21090</v>
      </c>
      <c r="I178" s="7">
        <v>15399.78735496119</v>
      </c>
      <c r="J178" s="7">
        <f t="shared" si="5"/>
        <v>5690.2126450388096</v>
      </c>
      <c r="K178" s="1">
        <f>IF(B178="North",28.6,
IF(B178="South",13,
IF(B178="East",22.6,
IF(B178="West",19,
23.5))))</f>
        <v>13</v>
      </c>
      <c r="L178" s="1">
        <f>IF(B178="North",77.2,
IF(B178="South",80.2,
IF(B178="East",88.4,
IF(B178="West",72.8,
78.9))))</f>
        <v>80.2</v>
      </c>
    </row>
    <row r="179" spans="1:12" x14ac:dyDescent="0.25">
      <c r="A179" s="5">
        <v>45407</v>
      </c>
      <c r="B179" s="1" t="s">
        <v>12</v>
      </c>
      <c r="C179" s="1" t="s">
        <v>24</v>
      </c>
      <c r="D179" s="1" t="s">
        <v>32</v>
      </c>
      <c r="E179" s="10">
        <v>2</v>
      </c>
      <c r="F179" s="10">
        <v>949</v>
      </c>
      <c r="G179" s="1" t="s">
        <v>35</v>
      </c>
      <c r="H179" s="10">
        <f t="shared" si="4"/>
        <v>1898</v>
      </c>
      <c r="I179" s="7">
        <v>1315.8850018093699</v>
      </c>
      <c r="J179" s="7">
        <f t="shared" si="5"/>
        <v>582.1149981906301</v>
      </c>
      <c r="K179" s="1">
        <f>IF(B179="North",28.6,
IF(B179="South",13,
IF(B179="East",22.6,
IF(B179="West",19,
23.5))))</f>
        <v>22.6</v>
      </c>
      <c r="L179" s="1">
        <f>IF(B179="North",77.2,
IF(B179="South",80.2,
IF(B179="East",88.4,
IF(B179="West",72.8,
78.9))))</f>
        <v>88.4</v>
      </c>
    </row>
    <row r="180" spans="1:12" x14ac:dyDescent="0.25">
      <c r="A180" s="5">
        <v>45524</v>
      </c>
      <c r="B180" s="1" t="s">
        <v>12</v>
      </c>
      <c r="C180" s="1" t="s">
        <v>24</v>
      </c>
      <c r="D180" s="1" t="s">
        <v>32</v>
      </c>
      <c r="E180" s="10">
        <v>13</v>
      </c>
      <c r="F180" s="10">
        <v>955</v>
      </c>
      <c r="G180" s="1" t="s">
        <v>35</v>
      </c>
      <c r="H180" s="10">
        <f t="shared" si="4"/>
        <v>12415</v>
      </c>
      <c r="I180" s="7">
        <v>10860.82329453537</v>
      </c>
      <c r="J180" s="7">
        <f t="shared" si="5"/>
        <v>1554.1767054646298</v>
      </c>
      <c r="K180" s="1">
        <f>IF(B180="North",28.6,
IF(B180="South",13,
IF(B180="East",22.6,
IF(B180="West",19,
23.5))))</f>
        <v>22.6</v>
      </c>
      <c r="L180" s="1">
        <f>IF(B180="North",77.2,
IF(B180="South",80.2,
IF(B180="East",88.4,
IF(B180="West",72.8,
78.9))))</f>
        <v>88.4</v>
      </c>
    </row>
    <row r="181" spans="1:12" x14ac:dyDescent="0.25">
      <c r="A181" s="5">
        <v>45550</v>
      </c>
      <c r="B181" s="1" t="s">
        <v>11</v>
      </c>
      <c r="C181" s="1" t="s">
        <v>18</v>
      </c>
      <c r="D181" s="1" t="s">
        <v>28</v>
      </c>
      <c r="E181" s="10">
        <v>4</v>
      </c>
      <c r="F181" s="10">
        <v>328</v>
      </c>
      <c r="G181" s="1" t="s">
        <v>34</v>
      </c>
      <c r="H181" s="10">
        <f t="shared" si="4"/>
        <v>1312</v>
      </c>
      <c r="I181" s="7">
        <v>947.31737687049235</v>
      </c>
      <c r="J181" s="7">
        <f t="shared" si="5"/>
        <v>364.68262312950765</v>
      </c>
      <c r="K181" s="1">
        <f>IF(B181="North",28.6,
IF(B181="South",13,
IF(B181="East",22.6,
IF(B181="West",19,
23.5))))</f>
        <v>19</v>
      </c>
      <c r="L181" s="1">
        <f>IF(B181="North",77.2,
IF(B181="South",80.2,
IF(B181="East",88.4,
IF(B181="West",72.8,
78.9))))</f>
        <v>72.8</v>
      </c>
    </row>
    <row r="182" spans="1:12" x14ac:dyDescent="0.25">
      <c r="A182" s="5">
        <v>45650</v>
      </c>
      <c r="B182" s="1" t="s">
        <v>13</v>
      </c>
      <c r="C182" s="1" t="s">
        <v>22</v>
      </c>
      <c r="D182" s="1" t="s">
        <v>29</v>
      </c>
      <c r="E182" s="10">
        <v>10</v>
      </c>
      <c r="F182" s="10">
        <v>379</v>
      </c>
      <c r="G182" s="1" t="s">
        <v>35</v>
      </c>
      <c r="H182" s="10">
        <f t="shared" si="4"/>
        <v>3790</v>
      </c>
      <c r="I182" s="7">
        <v>2580.5896186842378</v>
      </c>
      <c r="J182" s="7">
        <f t="shared" si="5"/>
        <v>1209.4103813157622</v>
      </c>
      <c r="K182" s="1">
        <f>IF(B182="North",28.6,
IF(B182="South",13,
IF(B182="East",22.6,
IF(B182="West",19,
23.5))))</f>
        <v>13</v>
      </c>
      <c r="L182" s="1">
        <f>IF(B182="North",77.2,
IF(B182="South",80.2,
IF(B182="East",88.4,
IF(B182="West",72.8,
78.9))))</f>
        <v>80.2</v>
      </c>
    </row>
    <row r="183" spans="1:12" x14ac:dyDescent="0.25">
      <c r="A183" s="5">
        <v>45489</v>
      </c>
      <c r="B183" s="1" t="s">
        <v>13</v>
      </c>
      <c r="C183" s="1" t="s">
        <v>24</v>
      </c>
      <c r="D183" s="1" t="s">
        <v>25</v>
      </c>
      <c r="E183" s="10">
        <v>13</v>
      </c>
      <c r="F183" s="10">
        <v>1993</v>
      </c>
      <c r="G183" s="1" t="s">
        <v>35</v>
      </c>
      <c r="H183" s="10">
        <f t="shared" si="4"/>
        <v>25909</v>
      </c>
      <c r="I183" s="7">
        <v>16304.490251721711</v>
      </c>
      <c r="J183" s="7">
        <f t="shared" si="5"/>
        <v>9604.5097482782894</v>
      </c>
      <c r="K183" s="1">
        <f>IF(B183="North",28.6,
IF(B183="South",13,
IF(B183="East",22.6,
IF(B183="West",19,
23.5))))</f>
        <v>13</v>
      </c>
      <c r="L183" s="1">
        <f>IF(B183="North",77.2,
IF(B183="South",80.2,
IF(B183="East",88.4,
IF(B183="West",72.8,
78.9))))</f>
        <v>80.2</v>
      </c>
    </row>
    <row r="184" spans="1:12" x14ac:dyDescent="0.25">
      <c r="A184" s="5">
        <v>45428</v>
      </c>
      <c r="B184" s="1" t="s">
        <v>13</v>
      </c>
      <c r="C184" s="1" t="s">
        <v>19</v>
      </c>
      <c r="D184" s="1" t="s">
        <v>26</v>
      </c>
      <c r="E184" s="10">
        <v>10</v>
      </c>
      <c r="F184" s="10">
        <v>1413</v>
      </c>
      <c r="G184" s="1" t="s">
        <v>35</v>
      </c>
      <c r="H184" s="10">
        <f t="shared" si="4"/>
        <v>14130</v>
      </c>
      <c r="I184" s="7">
        <f>H184*0.7</f>
        <v>9891</v>
      </c>
      <c r="J184" s="7">
        <f t="shared" si="5"/>
        <v>4239</v>
      </c>
      <c r="K184" s="1">
        <f>IF(B184="North",28.6,
IF(B184="South",13,
IF(B184="East",22.6,
IF(B184="West",19,
23.5))))</f>
        <v>13</v>
      </c>
      <c r="L184" s="1">
        <f>IF(B184="North",77.2,
IF(B184="South",80.2,
IF(B184="East",88.4,
IF(B184="West",72.8,
78.9))))</f>
        <v>80.2</v>
      </c>
    </row>
    <row r="185" spans="1:12" x14ac:dyDescent="0.25">
      <c r="A185" s="5">
        <v>45609</v>
      </c>
      <c r="B185" s="1" t="s">
        <v>13</v>
      </c>
      <c r="C185" s="1" t="s">
        <v>22</v>
      </c>
      <c r="D185" s="1" t="s">
        <v>28</v>
      </c>
      <c r="E185" s="10">
        <v>9</v>
      </c>
      <c r="F185" s="10">
        <v>1803</v>
      </c>
      <c r="G185" s="1" t="s">
        <v>35</v>
      </c>
      <c r="H185" s="10">
        <f t="shared" si="4"/>
        <v>16227</v>
      </c>
      <c r="I185" s="7">
        <v>13752.82774030998</v>
      </c>
      <c r="J185" s="7">
        <f t="shared" si="5"/>
        <v>2474.1722596900199</v>
      </c>
      <c r="K185" s="1">
        <f>IF(B185="North",28.6,
IF(B185="South",13,
IF(B185="East",22.6,
IF(B185="West",19,
23.5))))</f>
        <v>13</v>
      </c>
      <c r="L185" s="1">
        <f>IF(B185="North",77.2,
IF(B185="South",80.2,
IF(B185="East",88.4,
IF(B185="West",72.8,
78.9))))</f>
        <v>80.2</v>
      </c>
    </row>
    <row r="186" spans="1:12" x14ac:dyDescent="0.25">
      <c r="A186" s="5">
        <v>45456</v>
      </c>
      <c r="B186" s="1" t="s">
        <v>13</v>
      </c>
      <c r="C186" s="1" t="s">
        <v>24</v>
      </c>
      <c r="D186" s="1" t="s">
        <v>29</v>
      </c>
      <c r="E186" s="10">
        <v>8</v>
      </c>
      <c r="F186" s="10">
        <v>1170</v>
      </c>
      <c r="G186" s="1" t="s">
        <v>35</v>
      </c>
      <c r="H186" s="10">
        <f t="shared" si="4"/>
        <v>9360</v>
      </c>
      <c r="I186" s="7">
        <v>5709.5001762510028</v>
      </c>
      <c r="J186" s="7">
        <f t="shared" si="5"/>
        <v>3650.4998237489972</v>
      </c>
      <c r="K186" s="1">
        <f>IF(B186="North",28.6,
IF(B186="South",13,
IF(B186="East",22.6,
IF(B186="West",19,
23.5))))</f>
        <v>13</v>
      </c>
      <c r="L186" s="1">
        <f>IF(B186="North",77.2,
IF(B186="South",80.2,
IF(B186="East",88.4,
IF(B186="West",72.8,
78.9))))</f>
        <v>80.2</v>
      </c>
    </row>
    <row r="187" spans="1:12" x14ac:dyDescent="0.25">
      <c r="A187" s="5">
        <v>45516</v>
      </c>
      <c r="B187" s="1" t="s">
        <v>10</v>
      </c>
      <c r="C187" s="1" t="s">
        <v>17</v>
      </c>
      <c r="D187" s="1" t="s">
        <v>25</v>
      </c>
      <c r="E187" s="10">
        <v>3</v>
      </c>
      <c r="F187" s="10">
        <v>1074</v>
      </c>
      <c r="G187" s="1" t="s">
        <v>33</v>
      </c>
      <c r="H187" s="10">
        <f t="shared" si="4"/>
        <v>3222</v>
      </c>
      <c r="I187" s="7">
        <v>2279.866835414914</v>
      </c>
      <c r="J187" s="7">
        <f t="shared" si="5"/>
        <v>942.13316458508598</v>
      </c>
      <c r="K187" s="1">
        <f>IF(B187="North",28.6,
IF(B187="South",13,
IF(B187="East",22.6,
IF(B187="West",19,
23.5))))</f>
        <v>28.6</v>
      </c>
      <c r="L187" s="1">
        <f>IF(B187="North",77.2,
IF(B187="South",80.2,
IF(B187="East",88.4,
IF(B187="West",72.8,
78.9))))</f>
        <v>77.2</v>
      </c>
    </row>
    <row r="188" spans="1:12" x14ac:dyDescent="0.25">
      <c r="A188" s="5">
        <v>45598</v>
      </c>
      <c r="B188" s="1" t="s">
        <v>12</v>
      </c>
      <c r="C188" s="1" t="s">
        <v>21</v>
      </c>
      <c r="D188" s="1" t="s">
        <v>25</v>
      </c>
      <c r="E188" s="10">
        <v>16</v>
      </c>
      <c r="F188" s="10">
        <v>1838</v>
      </c>
      <c r="G188" s="1" t="s">
        <v>35</v>
      </c>
      <c r="H188" s="10">
        <f t="shared" si="4"/>
        <v>29408</v>
      </c>
      <c r="I188" s="7">
        <v>24260.51003304504</v>
      </c>
      <c r="J188" s="7">
        <f t="shared" si="5"/>
        <v>5147.4899669549595</v>
      </c>
      <c r="K188" s="1">
        <f>IF(B188="North",28.6,
IF(B188="South",13,
IF(B188="East",22.6,
IF(B188="West",19,
23.5))))</f>
        <v>22.6</v>
      </c>
      <c r="L188" s="1">
        <f>IF(B188="North",77.2,
IF(B188="South",80.2,
IF(B188="East",88.4,
IF(B188="West",72.8,
78.9))))</f>
        <v>88.4</v>
      </c>
    </row>
    <row r="189" spans="1:12" x14ac:dyDescent="0.25">
      <c r="A189" s="5">
        <v>45525</v>
      </c>
      <c r="B189" s="1" t="s">
        <v>10</v>
      </c>
      <c r="C189" s="1" t="s">
        <v>24</v>
      </c>
      <c r="D189" s="1" t="s">
        <v>28</v>
      </c>
      <c r="E189" s="10">
        <v>14</v>
      </c>
      <c r="F189" s="10">
        <v>1337</v>
      </c>
      <c r="G189" s="1" t="s">
        <v>35</v>
      </c>
      <c r="H189" s="10">
        <f t="shared" si="4"/>
        <v>18718</v>
      </c>
      <c r="I189" s="7">
        <v>16545.11262638442</v>
      </c>
      <c r="J189" s="7">
        <f t="shared" si="5"/>
        <v>2172.8873736155801</v>
      </c>
      <c r="K189" s="1">
        <f>IF(B189="North",28.6,
IF(B189="South",13,
IF(B189="East",22.6,
IF(B189="West",19,
23.5))))</f>
        <v>28.6</v>
      </c>
      <c r="L189" s="1">
        <f>IF(B189="North",77.2,
IF(B189="South",80.2,
IF(B189="East",88.4,
IF(B189="West",72.8,
78.9))))</f>
        <v>77.2</v>
      </c>
    </row>
    <row r="190" spans="1:12" x14ac:dyDescent="0.25">
      <c r="A190" s="5">
        <v>45463</v>
      </c>
      <c r="B190" s="1" t="s">
        <v>13</v>
      </c>
      <c r="C190" s="1" t="s">
        <v>19</v>
      </c>
      <c r="D190" s="1" t="s">
        <v>26</v>
      </c>
      <c r="E190" s="10">
        <v>9</v>
      </c>
      <c r="F190" s="10">
        <v>857</v>
      </c>
      <c r="G190" s="1" t="s">
        <v>35</v>
      </c>
      <c r="H190" s="10">
        <f t="shared" si="4"/>
        <v>7713</v>
      </c>
      <c r="I190" s="7">
        <v>5502.0337269887259</v>
      </c>
      <c r="J190" s="7">
        <f t="shared" si="5"/>
        <v>2210.9662730112741</v>
      </c>
      <c r="K190" s="1">
        <f>IF(B190="North",28.6,
IF(B190="South",13,
IF(B190="East",22.6,
IF(B190="West",19,
23.5))))</f>
        <v>13</v>
      </c>
      <c r="L190" s="1">
        <f>IF(B190="North",77.2,
IF(B190="South",80.2,
IF(B190="East",88.4,
IF(B190="West",72.8,
78.9))))</f>
        <v>80.2</v>
      </c>
    </row>
    <row r="191" spans="1:12" x14ac:dyDescent="0.25">
      <c r="A191" s="5">
        <v>45443</v>
      </c>
      <c r="B191" s="1" t="s">
        <v>11</v>
      </c>
      <c r="C191" s="1" t="s">
        <v>20</v>
      </c>
      <c r="D191" s="1" t="s">
        <v>29</v>
      </c>
      <c r="E191" s="10">
        <v>11</v>
      </c>
      <c r="F191" s="10">
        <v>1147</v>
      </c>
      <c r="G191" s="1" t="s">
        <v>33</v>
      </c>
      <c r="H191" s="10">
        <f t="shared" si="4"/>
        <v>12617</v>
      </c>
      <c r="I191" s="7">
        <v>10871.009443114521</v>
      </c>
      <c r="J191" s="7">
        <f t="shared" si="5"/>
        <v>1745.9905568854792</v>
      </c>
      <c r="K191" s="1">
        <f>IF(B191="North",28.6,
IF(B191="South",13,
IF(B191="East",22.6,
IF(B191="West",19,
23.5))))</f>
        <v>19</v>
      </c>
      <c r="L191" s="1">
        <f>IF(B191="North",77.2,
IF(B191="South",80.2,
IF(B191="East",88.4,
IF(B191="West",72.8,
78.9))))</f>
        <v>72.8</v>
      </c>
    </row>
    <row r="192" spans="1:12" x14ac:dyDescent="0.25">
      <c r="A192" s="5">
        <v>45606</v>
      </c>
      <c r="B192" s="1" t="s">
        <v>11</v>
      </c>
      <c r="C192" s="1" t="s">
        <v>24</v>
      </c>
      <c r="D192" s="1" t="s">
        <v>25</v>
      </c>
      <c r="E192" s="10">
        <v>3</v>
      </c>
      <c r="F192" s="10">
        <v>420</v>
      </c>
      <c r="G192" s="1" t="s">
        <v>35</v>
      </c>
      <c r="H192" s="10">
        <f t="shared" si="4"/>
        <v>1260</v>
      </c>
      <c r="I192" s="7">
        <v>904.82631366916985</v>
      </c>
      <c r="J192" s="7">
        <f t="shared" si="5"/>
        <v>355.17368633083015</v>
      </c>
      <c r="K192" s="1">
        <f>IF(B192="North",28.6,
IF(B192="South",13,
IF(B192="East",22.6,
IF(B192="West",19,
23.5))))</f>
        <v>19</v>
      </c>
      <c r="L192" s="1">
        <f>IF(B192="North",77.2,
IF(B192="South",80.2,
IF(B192="East",88.4,
IF(B192="West",72.8,
78.9))))</f>
        <v>72.8</v>
      </c>
    </row>
    <row r="193" spans="1:12" x14ac:dyDescent="0.25">
      <c r="A193" s="5">
        <v>45451</v>
      </c>
      <c r="B193" s="1" t="s">
        <v>13</v>
      </c>
      <c r="C193" s="1" t="s">
        <v>23</v>
      </c>
      <c r="D193" s="1" t="s">
        <v>25</v>
      </c>
      <c r="E193" s="10">
        <v>5</v>
      </c>
      <c r="F193" s="10">
        <v>373</v>
      </c>
      <c r="G193" s="1" t="s">
        <v>34</v>
      </c>
      <c r="H193" s="10">
        <f t="shared" si="4"/>
        <v>1865</v>
      </c>
      <c r="I193" s="7">
        <v>1219.4272439422621</v>
      </c>
      <c r="J193" s="7">
        <f t="shared" si="5"/>
        <v>645.57275605773793</v>
      </c>
      <c r="K193" s="1">
        <f>IF(B193="North",28.6,
IF(B193="South",13,
IF(B193="East",22.6,
IF(B193="West",19,
23.5))))</f>
        <v>13</v>
      </c>
      <c r="L193" s="1">
        <f>IF(B193="North",77.2,
IF(B193="South",80.2,
IF(B193="East",88.4,
IF(B193="West",72.8,
78.9))))</f>
        <v>80.2</v>
      </c>
    </row>
    <row r="194" spans="1:12" x14ac:dyDescent="0.25">
      <c r="A194" s="5">
        <v>45387</v>
      </c>
      <c r="B194" s="1" t="s">
        <v>13</v>
      </c>
      <c r="C194" s="1" t="s">
        <v>23</v>
      </c>
      <c r="D194" s="1" t="s">
        <v>36</v>
      </c>
      <c r="E194" s="10">
        <v>10</v>
      </c>
      <c r="F194" s="10">
        <v>655</v>
      </c>
      <c r="G194" s="1" t="s">
        <v>34</v>
      </c>
      <c r="H194" s="10">
        <f t="shared" si="4"/>
        <v>6550</v>
      </c>
      <c r="I194" s="7">
        <v>3936.7716725215491</v>
      </c>
      <c r="J194" s="7">
        <f t="shared" si="5"/>
        <v>2613.2283274784509</v>
      </c>
      <c r="K194" s="1">
        <f>IF(B194="North",28.6,
IF(B194="South",13,
IF(B194="East",22.6,
IF(B194="West",19,
23.5))))</f>
        <v>13</v>
      </c>
      <c r="L194" s="1">
        <f>IF(B194="North",77.2,
IF(B194="South",80.2,
IF(B194="East",88.4,
IF(B194="West",72.8,
78.9))))</f>
        <v>80.2</v>
      </c>
    </row>
    <row r="195" spans="1:12" x14ac:dyDescent="0.25">
      <c r="A195" s="5">
        <v>45524</v>
      </c>
      <c r="B195" s="1" t="s">
        <v>11</v>
      </c>
      <c r="C195" s="1" t="s">
        <v>23</v>
      </c>
      <c r="D195" s="1" t="s">
        <v>30</v>
      </c>
      <c r="E195" s="10">
        <v>13</v>
      </c>
      <c r="F195" s="10">
        <v>943</v>
      </c>
      <c r="G195" s="1" t="s">
        <v>34</v>
      </c>
      <c r="H195" s="10">
        <f t="shared" ref="H195:H258" si="6">E195*F195</f>
        <v>12259</v>
      </c>
      <c r="I195" s="7">
        <v>8569.7067488493449</v>
      </c>
      <c r="J195" s="7">
        <f t="shared" ref="J195:J258" si="7">H195-I195</f>
        <v>3689.2932511506551</v>
      </c>
      <c r="K195" s="1">
        <f>IF(B195="North",28.6,
IF(B195="South",13,
IF(B195="East",22.6,
IF(B195="West",19,
23.5))))</f>
        <v>19</v>
      </c>
      <c r="L195" s="1">
        <f>IF(B195="North",77.2,
IF(B195="South",80.2,
IF(B195="East",88.4,
IF(B195="West",72.8,
78.9))))</f>
        <v>72.8</v>
      </c>
    </row>
    <row r="196" spans="1:12" x14ac:dyDescent="0.25">
      <c r="A196" s="5">
        <v>45471</v>
      </c>
      <c r="B196" s="1" t="s">
        <v>10</v>
      </c>
      <c r="C196" s="1" t="s">
        <v>20</v>
      </c>
      <c r="D196" s="1" t="s">
        <v>28</v>
      </c>
      <c r="E196" s="10">
        <v>4</v>
      </c>
      <c r="F196" s="10">
        <v>1436</v>
      </c>
      <c r="G196" s="1" t="s">
        <v>33</v>
      </c>
      <c r="H196" s="10">
        <f t="shared" si="6"/>
        <v>5744</v>
      </c>
      <c r="I196" s="7">
        <v>4098.5882074134061</v>
      </c>
      <c r="J196" s="7">
        <f t="shared" si="7"/>
        <v>1645.4117925865939</v>
      </c>
      <c r="K196" s="1">
        <f>IF(B196="North",28.6,
IF(B196="South",13,
IF(B196="East",22.6,
IF(B196="West",19,
23.5))))</f>
        <v>28.6</v>
      </c>
      <c r="L196" s="1">
        <f>IF(B196="North",77.2,
IF(B196="South",80.2,
IF(B196="East",88.4,
IF(B196="West",72.8,
78.9))))</f>
        <v>77.2</v>
      </c>
    </row>
    <row r="197" spans="1:12" x14ac:dyDescent="0.25">
      <c r="A197" s="5">
        <v>45404</v>
      </c>
      <c r="B197" s="1" t="s">
        <v>10</v>
      </c>
      <c r="C197" s="1" t="s">
        <v>23</v>
      </c>
      <c r="D197" s="1" t="s">
        <v>28</v>
      </c>
      <c r="E197" s="10">
        <v>13</v>
      </c>
      <c r="F197" s="10">
        <v>1486</v>
      </c>
      <c r="G197" s="1" t="s">
        <v>34</v>
      </c>
      <c r="H197" s="10">
        <f t="shared" si="6"/>
        <v>19318</v>
      </c>
      <c r="I197" s="7">
        <v>17068.134126913668</v>
      </c>
      <c r="J197" s="7">
        <f t="shared" si="7"/>
        <v>2249.8658730863317</v>
      </c>
      <c r="K197" s="1">
        <f>IF(B197="North",28.6,
IF(B197="South",13,
IF(B197="East",22.6,
IF(B197="West",19,
23.5))))</f>
        <v>28.6</v>
      </c>
      <c r="L197" s="1">
        <f>IF(B197="North",77.2,
IF(B197="South",80.2,
IF(B197="East",88.4,
IF(B197="West",72.8,
78.9))))</f>
        <v>77.2</v>
      </c>
    </row>
    <row r="198" spans="1:12" x14ac:dyDescent="0.25">
      <c r="A198" s="5">
        <v>45609</v>
      </c>
      <c r="B198" s="1" t="s">
        <v>13</v>
      </c>
      <c r="C198" s="1" t="s">
        <v>17</v>
      </c>
      <c r="D198" s="1" t="s">
        <v>31</v>
      </c>
      <c r="E198" s="10">
        <v>12</v>
      </c>
      <c r="F198" s="10">
        <v>767</v>
      </c>
      <c r="G198" s="1" t="s">
        <v>33</v>
      </c>
      <c r="H198" s="10">
        <f t="shared" si="6"/>
        <v>9204</v>
      </c>
      <c r="I198" s="7">
        <v>6091.4011809838239</v>
      </c>
      <c r="J198" s="7">
        <f t="shared" si="7"/>
        <v>3112.5988190161761</v>
      </c>
      <c r="K198" s="1">
        <f>IF(B198="North",28.6,
IF(B198="South",13,
IF(B198="East",22.6,
IF(B198="West",19,
23.5))))</f>
        <v>13</v>
      </c>
      <c r="L198" s="1">
        <f>IF(B198="North",77.2,
IF(B198="South",80.2,
IF(B198="East",88.4,
IF(B198="West",72.8,
78.9))))</f>
        <v>80.2</v>
      </c>
    </row>
    <row r="199" spans="1:12" x14ac:dyDescent="0.25">
      <c r="A199" s="5">
        <v>45343</v>
      </c>
      <c r="B199" s="1" t="s">
        <v>10</v>
      </c>
      <c r="C199" s="1" t="s">
        <v>24</v>
      </c>
      <c r="D199" s="1" t="s">
        <v>36</v>
      </c>
      <c r="E199" s="10">
        <v>5</v>
      </c>
      <c r="F199" s="10">
        <v>1099</v>
      </c>
      <c r="G199" s="1" t="s">
        <v>35</v>
      </c>
      <c r="H199" s="10">
        <f t="shared" si="6"/>
        <v>5495</v>
      </c>
      <c r="I199" s="7">
        <v>3927.1073221668562</v>
      </c>
      <c r="J199" s="7">
        <f t="shared" si="7"/>
        <v>1567.8926778331438</v>
      </c>
      <c r="K199" s="1">
        <f>IF(B199="North",28.6,
IF(B199="South",13,
IF(B199="East",22.6,
IF(B199="West",19,
23.5))))</f>
        <v>28.6</v>
      </c>
      <c r="L199" s="1">
        <f>IF(B199="North",77.2,
IF(B199="South",80.2,
IF(B199="East",88.4,
IF(B199="West",72.8,
78.9))))</f>
        <v>77.2</v>
      </c>
    </row>
    <row r="200" spans="1:12" x14ac:dyDescent="0.25">
      <c r="A200" s="5">
        <v>45559</v>
      </c>
      <c r="B200" s="1" t="s">
        <v>11</v>
      </c>
      <c r="C200" s="1" t="s">
        <v>18</v>
      </c>
      <c r="D200" s="1" t="s">
        <v>27</v>
      </c>
      <c r="E200" s="10">
        <v>10</v>
      </c>
      <c r="F200" s="10">
        <v>479</v>
      </c>
      <c r="G200" s="1" t="s">
        <v>34</v>
      </c>
      <c r="H200" s="10">
        <f t="shared" si="6"/>
        <v>4790</v>
      </c>
      <c r="I200" s="7">
        <v>2910.146484555813</v>
      </c>
      <c r="J200" s="7">
        <f t="shared" si="7"/>
        <v>1879.853515444187</v>
      </c>
      <c r="K200" s="1">
        <f>IF(B200="North",28.6,
IF(B200="South",13,
IF(B200="East",22.6,
IF(B200="West",19,
23.5))))</f>
        <v>19</v>
      </c>
      <c r="L200" s="1">
        <f>IF(B200="North",77.2,
IF(B200="South",80.2,
IF(B200="East",88.4,
IF(B200="West",72.8,
78.9))))</f>
        <v>72.8</v>
      </c>
    </row>
    <row r="201" spans="1:12" x14ac:dyDescent="0.25">
      <c r="A201" s="5">
        <v>45586</v>
      </c>
      <c r="B201" s="1" t="s">
        <v>10</v>
      </c>
      <c r="C201" s="1" t="s">
        <v>23</v>
      </c>
      <c r="D201" s="1" t="s">
        <v>30</v>
      </c>
      <c r="E201" s="10">
        <v>9</v>
      </c>
      <c r="F201" s="10">
        <v>1073.5</v>
      </c>
      <c r="G201" s="1" t="s">
        <v>34</v>
      </c>
      <c r="H201" s="10">
        <f t="shared" si="6"/>
        <v>9661.5</v>
      </c>
      <c r="I201" s="7">
        <f>H201*0.7</f>
        <v>6763.0499999999993</v>
      </c>
      <c r="J201" s="7">
        <f t="shared" si="7"/>
        <v>2898.4500000000007</v>
      </c>
      <c r="K201" s="1">
        <f>IF(B201="North",28.6,
IF(B201="South",13,
IF(B201="East",22.6,
IF(B201="West",19,
23.5))))</f>
        <v>28.6</v>
      </c>
      <c r="L201" s="1">
        <f>IF(B201="North",77.2,
IF(B201="South",80.2,
IF(B201="East",88.4,
IF(B201="West",72.8,
78.9))))</f>
        <v>77.2</v>
      </c>
    </row>
    <row r="202" spans="1:12" x14ac:dyDescent="0.25">
      <c r="A202" s="5">
        <v>45404</v>
      </c>
      <c r="B202" s="1" t="s">
        <v>13</v>
      </c>
      <c r="C202" s="1" t="s">
        <v>22</v>
      </c>
      <c r="D202" s="1" t="s">
        <v>29</v>
      </c>
      <c r="E202" s="10">
        <v>7</v>
      </c>
      <c r="F202" s="10">
        <v>1797</v>
      </c>
      <c r="G202" s="1" t="s">
        <v>35</v>
      </c>
      <c r="H202" s="10">
        <f t="shared" si="6"/>
        <v>12579</v>
      </c>
      <c r="I202" s="7">
        <v>11000.868483255441</v>
      </c>
      <c r="J202" s="7">
        <f t="shared" si="7"/>
        <v>1578.1315167445591</v>
      </c>
      <c r="K202" s="1">
        <f>IF(B202="North",28.6,
IF(B202="South",13,
IF(B202="East",22.6,
IF(B202="West",19,
23.5))))</f>
        <v>13</v>
      </c>
      <c r="L202" s="1">
        <f>IF(B202="North",77.2,
IF(B202="South",80.2,
IF(B202="East",88.4,
IF(B202="West",72.8,
78.9))))</f>
        <v>80.2</v>
      </c>
    </row>
    <row r="203" spans="1:12" x14ac:dyDescent="0.25">
      <c r="A203" s="5">
        <v>45392</v>
      </c>
      <c r="B203" s="1" t="s">
        <v>11</v>
      </c>
      <c r="C203" s="1" t="s">
        <v>18</v>
      </c>
      <c r="D203" s="1" t="s">
        <v>29</v>
      </c>
      <c r="E203" s="10">
        <v>2</v>
      </c>
      <c r="F203" s="10">
        <v>1593</v>
      </c>
      <c r="G203" s="1" t="s">
        <v>34</v>
      </c>
      <c r="H203" s="10">
        <f t="shared" si="6"/>
        <v>3186</v>
      </c>
      <c r="I203" s="7">
        <v>2138.908974666871</v>
      </c>
      <c r="J203" s="7">
        <f t="shared" si="7"/>
        <v>1047.091025333129</v>
      </c>
      <c r="K203" s="1">
        <f>IF(B203="North",28.6,
IF(B203="South",13,
IF(B203="East",22.6,
IF(B203="West",19,
23.5))))</f>
        <v>19</v>
      </c>
      <c r="L203" s="1">
        <f>IF(B203="North",77.2,
IF(B203="South",80.2,
IF(B203="East",88.4,
IF(B203="West",72.8,
78.9))))</f>
        <v>72.8</v>
      </c>
    </row>
    <row r="204" spans="1:12" x14ac:dyDescent="0.25">
      <c r="A204" s="5">
        <v>45404</v>
      </c>
      <c r="B204" s="1" t="s">
        <v>10</v>
      </c>
      <c r="C204" s="1" t="s">
        <v>20</v>
      </c>
      <c r="D204" s="1" t="s">
        <v>29</v>
      </c>
      <c r="E204" s="10">
        <v>7</v>
      </c>
      <c r="F204" s="10">
        <v>845</v>
      </c>
      <c r="G204" s="1" t="s">
        <v>33</v>
      </c>
      <c r="H204" s="10">
        <f t="shared" si="6"/>
        <v>5915</v>
      </c>
      <c r="I204" s="7">
        <v>4310.2518238309722</v>
      </c>
      <c r="J204" s="7">
        <f t="shared" si="7"/>
        <v>1604.7481761690278</v>
      </c>
      <c r="K204" s="1">
        <f>IF(B204="North",28.6,
IF(B204="South",13,
IF(B204="East",22.6,
IF(B204="West",19,
23.5))))</f>
        <v>28.6</v>
      </c>
      <c r="L204" s="1">
        <f>IF(B204="North",77.2,
IF(B204="South",80.2,
IF(B204="East",88.4,
IF(B204="West",72.8,
78.9))))</f>
        <v>77.2</v>
      </c>
    </row>
    <row r="205" spans="1:12" x14ac:dyDescent="0.25">
      <c r="A205" s="5">
        <v>45372</v>
      </c>
      <c r="B205" s="1" t="s">
        <v>36</v>
      </c>
      <c r="C205" s="1" t="s">
        <v>17</v>
      </c>
      <c r="D205" s="1" t="s">
        <v>30</v>
      </c>
      <c r="E205" s="10">
        <v>8</v>
      </c>
      <c r="F205" s="10">
        <v>774</v>
      </c>
      <c r="G205" s="1" t="s">
        <v>33</v>
      </c>
      <c r="H205" s="10">
        <f t="shared" si="6"/>
        <v>6192</v>
      </c>
      <c r="I205" s="7">
        <v>3942.0364054494698</v>
      </c>
      <c r="J205" s="7">
        <f t="shared" si="7"/>
        <v>2249.9635945505302</v>
      </c>
      <c r="K205" s="1">
        <f>IF(B205="North",28.6,
IF(B205="South",13,
IF(B205="East",22.6,
IF(B205="West",19,
23.5))))</f>
        <v>23.5</v>
      </c>
      <c r="L205" s="1">
        <f>IF(B205="North",77.2,
IF(B205="South",80.2,
IF(B205="East",88.4,
IF(B205="West",72.8,
78.9))))</f>
        <v>78.900000000000006</v>
      </c>
    </row>
    <row r="206" spans="1:12" x14ac:dyDescent="0.25">
      <c r="A206" s="5">
        <v>45478</v>
      </c>
      <c r="B206" s="1" t="s">
        <v>11</v>
      </c>
      <c r="C206" s="1" t="s">
        <v>22</v>
      </c>
      <c r="D206" s="1" t="s">
        <v>25</v>
      </c>
      <c r="E206" s="10">
        <v>7</v>
      </c>
      <c r="F206" s="10">
        <v>215</v>
      </c>
      <c r="G206" s="1" t="s">
        <v>35</v>
      </c>
      <c r="H206" s="10">
        <f t="shared" si="6"/>
        <v>1505</v>
      </c>
      <c r="I206" s="7">
        <v>1109.2611967862699</v>
      </c>
      <c r="J206" s="7">
        <f t="shared" si="7"/>
        <v>395.73880321373008</v>
      </c>
      <c r="K206" s="1">
        <f>IF(B206="North",28.6,
IF(B206="South",13,
IF(B206="East",22.6,
IF(B206="West",19,
23.5))))</f>
        <v>19</v>
      </c>
      <c r="L206" s="1">
        <f>IF(B206="North",77.2,
IF(B206="South",80.2,
IF(B206="East",88.4,
IF(B206="West",72.8,
78.9))))</f>
        <v>72.8</v>
      </c>
    </row>
    <row r="207" spans="1:12" x14ac:dyDescent="0.25">
      <c r="A207" s="5">
        <v>45404</v>
      </c>
      <c r="B207" s="1" t="s">
        <v>11</v>
      </c>
      <c r="C207" s="1" t="s">
        <v>22</v>
      </c>
      <c r="D207" s="1" t="s">
        <v>29</v>
      </c>
      <c r="E207" s="10">
        <v>14</v>
      </c>
      <c r="F207" s="10">
        <v>704</v>
      </c>
      <c r="G207" s="1" t="s">
        <v>35</v>
      </c>
      <c r="H207" s="10">
        <f t="shared" si="6"/>
        <v>9856</v>
      </c>
      <c r="I207" s="7">
        <v>6307.8669965028612</v>
      </c>
      <c r="J207" s="7">
        <f t="shared" si="7"/>
        <v>3548.1330034971388</v>
      </c>
      <c r="K207" s="1">
        <f>IF(B207="North",28.6,
IF(B207="South",13,
IF(B207="East",22.6,
IF(B207="West",19,
23.5))))</f>
        <v>19</v>
      </c>
      <c r="L207" s="1">
        <f>IF(B207="North",77.2,
IF(B207="South",80.2,
IF(B207="East",88.4,
IF(B207="West",72.8,
78.9))))</f>
        <v>72.8</v>
      </c>
    </row>
    <row r="208" spans="1:12" x14ac:dyDescent="0.25">
      <c r="A208" s="5">
        <v>45293</v>
      </c>
      <c r="B208" s="1" t="s">
        <v>12</v>
      </c>
      <c r="C208" s="1" t="s">
        <v>22</v>
      </c>
      <c r="D208" s="1" t="s">
        <v>29</v>
      </c>
      <c r="E208" s="10">
        <v>19</v>
      </c>
      <c r="F208" s="10">
        <v>1073.5</v>
      </c>
      <c r="G208" s="1" t="s">
        <v>35</v>
      </c>
      <c r="H208" s="10">
        <f t="shared" si="6"/>
        <v>20396.5</v>
      </c>
      <c r="I208" s="7">
        <f>H208*0.7</f>
        <v>14277.55</v>
      </c>
      <c r="J208" s="7">
        <f t="shared" si="7"/>
        <v>6118.9500000000007</v>
      </c>
      <c r="K208" s="1">
        <f>IF(B208="North",28.6,
IF(B208="South",13,
IF(B208="East",22.6,
IF(B208="West",19,
23.5))))</f>
        <v>22.6</v>
      </c>
      <c r="L208" s="1">
        <f>IF(B208="North",77.2,
IF(B208="South",80.2,
IF(B208="East",88.4,
IF(B208="West",72.8,
78.9))))</f>
        <v>88.4</v>
      </c>
    </row>
    <row r="209" spans="1:12" x14ac:dyDescent="0.25">
      <c r="A209" s="5">
        <v>45421</v>
      </c>
      <c r="B209" s="1" t="s">
        <v>12</v>
      </c>
      <c r="C209" s="1" t="s">
        <v>22</v>
      </c>
      <c r="D209" s="1" t="s">
        <v>26</v>
      </c>
      <c r="E209" s="10">
        <v>5</v>
      </c>
      <c r="F209" s="10">
        <v>1919</v>
      </c>
      <c r="G209" s="1" t="s">
        <v>35</v>
      </c>
      <c r="H209" s="10">
        <f t="shared" si="6"/>
        <v>9595</v>
      </c>
      <c r="I209" s="7">
        <v>7871.6095433841829</v>
      </c>
      <c r="J209" s="7">
        <f t="shared" si="7"/>
        <v>1723.3904566158171</v>
      </c>
      <c r="K209" s="1">
        <f>IF(B209="North",28.6,
IF(B209="South",13,
IF(B209="East",22.6,
IF(B209="West",19,
23.5))))</f>
        <v>22.6</v>
      </c>
      <c r="L209" s="1">
        <f>IF(B209="North",77.2,
IF(B209="South",80.2,
IF(B209="East",88.4,
IF(B209="West",72.8,
78.9))))</f>
        <v>88.4</v>
      </c>
    </row>
    <row r="210" spans="1:12" x14ac:dyDescent="0.25">
      <c r="A210" s="5">
        <v>45511</v>
      </c>
      <c r="B210" s="1" t="s">
        <v>11</v>
      </c>
      <c r="C210" s="1" t="s">
        <v>18</v>
      </c>
      <c r="D210" s="1" t="s">
        <v>32</v>
      </c>
      <c r="E210" s="10">
        <v>18</v>
      </c>
      <c r="F210" s="10">
        <v>478</v>
      </c>
      <c r="G210" s="1" t="s">
        <v>34</v>
      </c>
      <c r="H210" s="10">
        <f t="shared" si="6"/>
        <v>8604</v>
      </c>
      <c r="I210" s="7">
        <v>6590.6883703503308</v>
      </c>
      <c r="J210" s="7">
        <f t="shared" si="7"/>
        <v>2013.3116296496692</v>
      </c>
      <c r="K210" s="1">
        <f>IF(B210="North",28.6,
IF(B210="South",13,
IF(B210="East",22.6,
IF(B210="West",19,
23.5))))</f>
        <v>19</v>
      </c>
      <c r="L210" s="1">
        <f>IF(B210="North",77.2,
IF(B210="South",80.2,
IF(B210="East",88.4,
IF(B210="West",72.8,
78.9))))</f>
        <v>72.8</v>
      </c>
    </row>
    <row r="211" spans="1:12" x14ac:dyDescent="0.25">
      <c r="A211" s="5">
        <v>45345</v>
      </c>
      <c r="B211" s="1" t="s">
        <v>12</v>
      </c>
      <c r="C211" s="1" t="s">
        <v>18</v>
      </c>
      <c r="D211" s="1" t="s">
        <v>32</v>
      </c>
      <c r="E211" s="10">
        <v>12</v>
      </c>
      <c r="F211" s="10">
        <v>1845</v>
      </c>
      <c r="G211" s="1" t="s">
        <v>34</v>
      </c>
      <c r="H211" s="10">
        <f t="shared" si="6"/>
        <v>22140</v>
      </c>
      <c r="I211" s="7">
        <v>14912.748439648951</v>
      </c>
      <c r="J211" s="7">
        <f t="shared" si="7"/>
        <v>7227.2515603510492</v>
      </c>
      <c r="K211" s="1">
        <f>IF(B211="North",28.6,
IF(B211="South",13,
IF(B211="East",22.6,
IF(B211="West",19,
23.5))))</f>
        <v>22.6</v>
      </c>
      <c r="L211" s="1">
        <f>IF(B211="North",77.2,
IF(B211="South",80.2,
IF(B211="East",88.4,
IF(B211="West",72.8,
78.9))))</f>
        <v>88.4</v>
      </c>
    </row>
    <row r="212" spans="1:12" x14ac:dyDescent="0.25">
      <c r="A212" s="5">
        <v>45634</v>
      </c>
      <c r="B212" s="1" t="s">
        <v>13</v>
      </c>
      <c r="C212" s="1" t="s">
        <v>24</v>
      </c>
      <c r="D212" s="1" t="s">
        <v>31</v>
      </c>
      <c r="E212" s="10">
        <v>17</v>
      </c>
      <c r="F212" s="10">
        <v>1329</v>
      </c>
      <c r="G212" s="1" t="s">
        <v>35</v>
      </c>
      <c r="H212" s="10">
        <f t="shared" si="6"/>
        <v>22593</v>
      </c>
      <c r="I212" s="7">
        <v>15953.79380990969</v>
      </c>
      <c r="J212" s="7">
        <f t="shared" si="7"/>
        <v>6639.20619009031</v>
      </c>
      <c r="K212" s="1">
        <f>IF(B212="North",28.6,
IF(B212="South",13,
IF(B212="East",22.6,
IF(B212="West",19,
23.5))))</f>
        <v>13</v>
      </c>
      <c r="L212" s="1">
        <f>IF(B212="North",77.2,
IF(B212="South",80.2,
IF(B212="East",88.4,
IF(B212="West",72.8,
78.9))))</f>
        <v>80.2</v>
      </c>
    </row>
    <row r="213" spans="1:12" x14ac:dyDescent="0.25">
      <c r="A213" s="5">
        <v>45515</v>
      </c>
      <c r="B213" s="1" t="s">
        <v>36</v>
      </c>
      <c r="C213" s="1" t="s">
        <v>23</v>
      </c>
      <c r="D213" s="1" t="s">
        <v>31</v>
      </c>
      <c r="E213" s="10">
        <v>13</v>
      </c>
      <c r="F213" s="10">
        <v>565</v>
      </c>
      <c r="G213" s="1" t="s">
        <v>34</v>
      </c>
      <c r="H213" s="10">
        <f t="shared" si="6"/>
        <v>7345</v>
      </c>
      <c r="I213" s="7">
        <v>5814.0950275343603</v>
      </c>
      <c r="J213" s="7">
        <f t="shared" si="7"/>
        <v>1530.9049724656397</v>
      </c>
      <c r="K213" s="1">
        <f>IF(B213="North",28.6,
IF(B213="South",13,
IF(B213="East",22.6,
IF(B213="West",19,
23.5))))</f>
        <v>23.5</v>
      </c>
      <c r="L213" s="1">
        <f>IF(B213="North",77.2,
IF(B213="South",80.2,
IF(B213="East",88.4,
IF(B213="West",72.8,
78.9))))</f>
        <v>78.900000000000006</v>
      </c>
    </row>
    <row r="214" spans="1:12" x14ac:dyDescent="0.25">
      <c r="A214" s="5">
        <v>45516</v>
      </c>
      <c r="B214" s="1" t="s">
        <v>13</v>
      </c>
      <c r="C214" s="1" t="s">
        <v>21</v>
      </c>
      <c r="D214" s="1" t="s">
        <v>29</v>
      </c>
      <c r="E214" s="10">
        <v>2</v>
      </c>
      <c r="F214" s="10">
        <v>1855</v>
      </c>
      <c r="G214" s="1" t="s">
        <v>35</v>
      </c>
      <c r="H214" s="10">
        <f t="shared" si="6"/>
        <v>3710</v>
      </c>
      <c r="I214" s="7">
        <v>2882.3977799995191</v>
      </c>
      <c r="J214" s="7">
        <f t="shared" si="7"/>
        <v>827.60222000048088</v>
      </c>
      <c r="K214" s="1">
        <f>IF(B214="North",28.6,
IF(B214="South",13,
IF(B214="East",22.6,
IF(B214="West",19,
23.5))))</f>
        <v>13</v>
      </c>
      <c r="L214" s="1">
        <f>IF(B214="North",77.2,
IF(B214="South",80.2,
IF(B214="East",88.4,
IF(B214="West",72.8,
78.9))))</f>
        <v>80.2</v>
      </c>
    </row>
    <row r="215" spans="1:12" x14ac:dyDescent="0.25">
      <c r="A215" s="5">
        <v>45417</v>
      </c>
      <c r="B215" s="1" t="s">
        <v>11</v>
      </c>
      <c r="C215" s="1" t="s">
        <v>24</v>
      </c>
      <c r="D215" s="1" t="s">
        <v>26</v>
      </c>
      <c r="E215" s="10">
        <v>13</v>
      </c>
      <c r="F215" s="10">
        <v>379</v>
      </c>
      <c r="G215" s="1" t="s">
        <v>35</v>
      </c>
      <c r="H215" s="10">
        <f t="shared" si="6"/>
        <v>4927</v>
      </c>
      <c r="I215" s="7">
        <v>3158.366814322143</v>
      </c>
      <c r="J215" s="7">
        <f t="shared" si="7"/>
        <v>1768.633185677857</v>
      </c>
      <c r="K215" s="1">
        <f>IF(B215="North",28.6,
IF(B215="South",13,
IF(B215="East",22.6,
IF(B215="West",19,
23.5))))</f>
        <v>19</v>
      </c>
      <c r="L215" s="1">
        <f>IF(B215="North",77.2,
IF(B215="South",80.2,
IF(B215="East",88.4,
IF(B215="West",72.8,
78.9))))</f>
        <v>72.8</v>
      </c>
    </row>
    <row r="216" spans="1:12" x14ac:dyDescent="0.25">
      <c r="A216" s="5">
        <v>45421</v>
      </c>
      <c r="B216" s="1" t="s">
        <v>12</v>
      </c>
      <c r="C216" s="1" t="s">
        <v>24</v>
      </c>
      <c r="D216" s="1" t="s">
        <v>29</v>
      </c>
      <c r="E216" s="10">
        <v>7</v>
      </c>
      <c r="F216" s="10">
        <v>1771</v>
      </c>
      <c r="G216" s="1" t="s">
        <v>35</v>
      </c>
      <c r="H216" s="10">
        <f t="shared" si="6"/>
        <v>12397</v>
      </c>
      <c r="I216" s="7">
        <v>10580.65158713969</v>
      </c>
      <c r="J216" s="7">
        <f t="shared" si="7"/>
        <v>1816.3484128603104</v>
      </c>
      <c r="K216" s="1">
        <f>IF(B216="North",28.6,
IF(B216="South",13,
IF(B216="East",22.6,
IF(B216="West",19,
23.5))))</f>
        <v>22.6</v>
      </c>
      <c r="L216" s="1">
        <f>IF(B216="North",77.2,
IF(B216="South",80.2,
IF(B216="East",88.4,
IF(B216="West",72.8,
78.9))))</f>
        <v>88.4</v>
      </c>
    </row>
    <row r="217" spans="1:12" x14ac:dyDescent="0.25">
      <c r="A217" s="5">
        <v>45344</v>
      </c>
      <c r="B217" s="1" t="s">
        <v>12</v>
      </c>
      <c r="C217" s="1" t="s">
        <v>17</v>
      </c>
      <c r="D217" s="1" t="s">
        <v>31</v>
      </c>
      <c r="E217" s="10">
        <v>10</v>
      </c>
      <c r="F217" s="10">
        <v>717</v>
      </c>
      <c r="G217" s="1" t="s">
        <v>33</v>
      </c>
      <c r="H217" s="10">
        <f t="shared" si="6"/>
        <v>7170</v>
      </c>
      <c r="I217" s="7">
        <v>5324.1313502433304</v>
      </c>
      <c r="J217" s="7">
        <f t="shared" si="7"/>
        <v>1845.8686497566696</v>
      </c>
      <c r="K217" s="1">
        <f>IF(B217="North",28.6,
IF(B217="South",13,
IF(B217="East",22.6,
IF(B217="West",19,
23.5))))</f>
        <v>22.6</v>
      </c>
      <c r="L217" s="1">
        <f>IF(B217="North",77.2,
IF(B217="South",80.2,
IF(B217="East",88.4,
IF(B217="West",72.8,
78.9))))</f>
        <v>88.4</v>
      </c>
    </row>
    <row r="218" spans="1:12" x14ac:dyDescent="0.25">
      <c r="A218" s="5">
        <v>45463</v>
      </c>
      <c r="B218" s="1" t="s">
        <v>10</v>
      </c>
      <c r="C218" s="1" t="s">
        <v>17</v>
      </c>
      <c r="D218" s="1" t="s">
        <v>30</v>
      </c>
      <c r="E218" s="10">
        <v>6</v>
      </c>
      <c r="F218" s="10">
        <v>217</v>
      </c>
      <c r="G218" s="1" t="s">
        <v>33</v>
      </c>
      <c r="H218" s="10">
        <f t="shared" si="6"/>
        <v>1302</v>
      </c>
      <c r="I218" s="7">
        <v>844.62141910000912</v>
      </c>
      <c r="J218" s="7">
        <f t="shared" si="7"/>
        <v>457.37858089999088</v>
      </c>
      <c r="K218" s="1">
        <f>IF(B218="North",28.6,
IF(B218="South",13,
IF(B218="East",22.6,
IF(B218="West",19,
23.5))))</f>
        <v>28.6</v>
      </c>
      <c r="L218" s="1">
        <f>IF(B218="North",77.2,
IF(B218="South",80.2,
IF(B218="East",88.4,
IF(B218="West",72.8,
78.9))))</f>
        <v>77.2</v>
      </c>
    </row>
    <row r="219" spans="1:12" x14ac:dyDescent="0.25">
      <c r="A219" s="5">
        <v>45509</v>
      </c>
      <c r="B219" s="1" t="s">
        <v>10</v>
      </c>
      <c r="C219" s="1" t="s">
        <v>23</v>
      </c>
      <c r="D219" s="1" t="s">
        <v>30</v>
      </c>
      <c r="E219" s="10">
        <v>3</v>
      </c>
      <c r="F219" s="10">
        <v>1360</v>
      </c>
      <c r="G219" s="1" t="s">
        <v>34</v>
      </c>
      <c r="H219" s="10">
        <f t="shared" si="6"/>
        <v>4080</v>
      </c>
      <c r="I219" s="7">
        <v>2598.3396881114691</v>
      </c>
      <c r="J219" s="7">
        <f t="shared" si="7"/>
        <v>1481.6603118885309</v>
      </c>
      <c r="K219" s="1">
        <f>IF(B219="North",28.6,
IF(B219="South",13,
IF(B219="East",22.6,
IF(B219="West",19,
23.5))))</f>
        <v>28.6</v>
      </c>
      <c r="L219" s="1">
        <f>IF(B219="North",77.2,
IF(B219="South",80.2,
IF(B219="East",88.4,
IF(B219="West",72.8,
78.9))))</f>
        <v>77.2</v>
      </c>
    </row>
    <row r="220" spans="1:12" x14ac:dyDescent="0.25">
      <c r="A220" s="5">
        <v>45451</v>
      </c>
      <c r="B220" s="1" t="s">
        <v>12</v>
      </c>
      <c r="C220" s="1" t="s">
        <v>21</v>
      </c>
      <c r="D220" s="1" t="s">
        <v>25</v>
      </c>
      <c r="E220" s="10">
        <v>3</v>
      </c>
      <c r="F220" s="10">
        <v>408</v>
      </c>
      <c r="G220" s="1" t="s">
        <v>35</v>
      </c>
      <c r="H220" s="10">
        <f t="shared" si="6"/>
        <v>1224</v>
      </c>
      <c r="I220" s="7">
        <v>1088.9506116496921</v>
      </c>
      <c r="J220" s="7">
        <f t="shared" si="7"/>
        <v>135.04938835030794</v>
      </c>
      <c r="K220" s="1">
        <f>IF(B220="North",28.6,
IF(B220="South",13,
IF(B220="East",22.6,
IF(B220="West",19,
23.5))))</f>
        <v>22.6</v>
      </c>
      <c r="L220" s="1">
        <f>IF(B220="North",77.2,
IF(B220="South",80.2,
IF(B220="East",88.4,
IF(B220="West",72.8,
78.9))))</f>
        <v>88.4</v>
      </c>
    </row>
    <row r="221" spans="1:12" x14ac:dyDescent="0.25">
      <c r="A221" s="5">
        <v>45489</v>
      </c>
      <c r="B221" s="1" t="s">
        <v>12</v>
      </c>
      <c r="C221" s="1" t="s">
        <v>17</v>
      </c>
      <c r="D221" s="1" t="s">
        <v>27</v>
      </c>
      <c r="E221" s="10">
        <v>18</v>
      </c>
      <c r="F221" s="10">
        <v>1579</v>
      </c>
      <c r="G221" s="1" t="s">
        <v>33</v>
      </c>
      <c r="H221" s="10">
        <f t="shared" si="6"/>
        <v>28422</v>
      </c>
      <c r="I221" s="7">
        <v>19453.73727893236</v>
      </c>
      <c r="J221" s="7">
        <f t="shared" si="7"/>
        <v>8968.2627210676401</v>
      </c>
      <c r="K221" s="1">
        <f>IF(B221="North",28.6,
IF(B221="South",13,
IF(B221="East",22.6,
IF(B221="West",19,
23.5))))</f>
        <v>22.6</v>
      </c>
      <c r="L221" s="1">
        <f>IF(B221="North",77.2,
IF(B221="South",80.2,
IF(B221="East",88.4,
IF(B221="West",72.8,
78.9))))</f>
        <v>88.4</v>
      </c>
    </row>
    <row r="222" spans="1:12" x14ac:dyDescent="0.25">
      <c r="A222" s="5">
        <v>45538</v>
      </c>
      <c r="B222" s="1" t="s">
        <v>12</v>
      </c>
      <c r="C222" s="1" t="s">
        <v>23</v>
      </c>
      <c r="D222" s="1" t="s">
        <v>32</v>
      </c>
      <c r="E222" s="10">
        <v>11</v>
      </c>
      <c r="F222" s="10">
        <v>1598</v>
      </c>
      <c r="G222" s="1" t="s">
        <v>34</v>
      </c>
      <c r="H222" s="10">
        <f t="shared" si="6"/>
        <v>17578</v>
      </c>
      <c r="I222" s="7">
        <v>15338.177426518219</v>
      </c>
      <c r="J222" s="7">
        <f t="shared" si="7"/>
        <v>2239.8225734817806</v>
      </c>
      <c r="K222" s="1">
        <f>IF(B222="North",28.6,
IF(B222="South",13,
IF(B222="East",22.6,
IF(B222="West",19,
23.5))))</f>
        <v>22.6</v>
      </c>
      <c r="L222" s="1">
        <f>IF(B222="North",77.2,
IF(B222="South",80.2,
IF(B222="East",88.4,
IF(B222="West",72.8,
78.9))))</f>
        <v>88.4</v>
      </c>
    </row>
    <row r="223" spans="1:12" x14ac:dyDescent="0.25">
      <c r="A223" s="5">
        <v>45615</v>
      </c>
      <c r="B223" s="1" t="s">
        <v>11</v>
      </c>
      <c r="C223" s="1" t="s">
        <v>23</v>
      </c>
      <c r="D223" s="1" t="s">
        <v>36</v>
      </c>
      <c r="E223" s="10">
        <v>5</v>
      </c>
      <c r="F223" s="10">
        <v>199</v>
      </c>
      <c r="G223" s="1" t="s">
        <v>34</v>
      </c>
      <c r="H223" s="10">
        <f t="shared" si="6"/>
        <v>995</v>
      </c>
      <c r="I223" s="7">
        <v>719.55971168252825</v>
      </c>
      <c r="J223" s="7">
        <f t="shared" si="7"/>
        <v>275.44028831747175</v>
      </c>
      <c r="K223" s="1">
        <f>IF(B223="North",28.6,
IF(B223="South",13,
IF(B223="East",22.6,
IF(B223="West",19,
23.5))))</f>
        <v>19</v>
      </c>
      <c r="L223" s="1">
        <f>IF(B223="North",77.2,
IF(B223="South",80.2,
IF(B223="East",88.4,
IF(B223="West",72.8,
78.9))))</f>
        <v>72.8</v>
      </c>
    </row>
    <row r="224" spans="1:12" x14ac:dyDescent="0.25">
      <c r="A224" s="5">
        <v>45494</v>
      </c>
      <c r="B224" s="1" t="s">
        <v>12</v>
      </c>
      <c r="C224" s="1" t="s">
        <v>18</v>
      </c>
      <c r="D224" s="1" t="s">
        <v>28</v>
      </c>
      <c r="E224" s="10">
        <v>19</v>
      </c>
      <c r="F224" s="10">
        <v>360</v>
      </c>
      <c r="G224" s="1" t="s">
        <v>34</v>
      </c>
      <c r="H224" s="10">
        <f t="shared" si="6"/>
        <v>6840</v>
      </c>
      <c r="I224" s="7">
        <v>4895.9107752899463</v>
      </c>
      <c r="J224" s="7">
        <f t="shared" si="7"/>
        <v>1944.0892247100537</v>
      </c>
      <c r="K224" s="1">
        <f>IF(B224="North",28.6,
IF(B224="South",13,
IF(B224="East",22.6,
IF(B224="West",19,
23.5))))</f>
        <v>22.6</v>
      </c>
      <c r="L224" s="1">
        <f>IF(B224="North",77.2,
IF(B224="South",80.2,
IF(B224="East",88.4,
IF(B224="West",72.8,
78.9))))</f>
        <v>88.4</v>
      </c>
    </row>
    <row r="225" spans="1:12" x14ac:dyDescent="0.25">
      <c r="A225" s="5">
        <v>45475</v>
      </c>
      <c r="B225" s="1" t="s">
        <v>10</v>
      </c>
      <c r="C225" s="1" t="s">
        <v>40</v>
      </c>
      <c r="D225" s="1" t="s">
        <v>32</v>
      </c>
      <c r="E225" s="10">
        <v>19</v>
      </c>
      <c r="F225" s="10">
        <v>1092</v>
      </c>
      <c r="G225" s="1" t="s">
        <v>35</v>
      </c>
      <c r="H225" s="10">
        <f t="shared" si="6"/>
        <v>20748</v>
      </c>
      <c r="I225" s="7">
        <v>16811.66227868593</v>
      </c>
      <c r="J225" s="7">
        <f t="shared" si="7"/>
        <v>3936.3377213140702</v>
      </c>
      <c r="K225" s="1">
        <f>IF(B225="North",28.6,
IF(B225="South",13,
IF(B225="East",22.6,
IF(B225="West",19,
23.5))))</f>
        <v>28.6</v>
      </c>
      <c r="L225" s="1">
        <f>IF(B225="North",77.2,
IF(B225="South",80.2,
IF(B225="East",88.4,
IF(B225="West",72.8,
78.9))))</f>
        <v>77.2</v>
      </c>
    </row>
    <row r="226" spans="1:12" x14ac:dyDescent="0.25">
      <c r="A226" s="5">
        <v>45414</v>
      </c>
      <c r="B226" s="1" t="s">
        <v>11</v>
      </c>
      <c r="C226" s="1" t="s">
        <v>18</v>
      </c>
      <c r="D226" s="1" t="s">
        <v>28</v>
      </c>
      <c r="E226" s="10">
        <v>15</v>
      </c>
      <c r="F226" s="10">
        <v>1428</v>
      </c>
      <c r="G226" s="1" t="s">
        <v>34</v>
      </c>
      <c r="H226" s="10">
        <f t="shared" si="6"/>
        <v>21420</v>
      </c>
      <c r="I226" s="7">
        <v>12915.510007245121</v>
      </c>
      <c r="J226" s="7">
        <f t="shared" si="7"/>
        <v>8504.4899927548795</v>
      </c>
      <c r="K226" s="1">
        <f>IF(B226="North",28.6,
IF(B226="South",13,
IF(B226="East",22.6,
IF(B226="West",19,
23.5))))</f>
        <v>19</v>
      </c>
      <c r="L226" s="1">
        <f>IF(B226="North",77.2,
IF(B226="South",80.2,
IF(B226="East",88.4,
IF(B226="West",72.8,
78.9))))</f>
        <v>72.8</v>
      </c>
    </row>
    <row r="227" spans="1:12" x14ac:dyDescent="0.25">
      <c r="A227" s="5">
        <v>45546</v>
      </c>
      <c r="B227" s="1" t="s">
        <v>12</v>
      </c>
      <c r="C227" s="1" t="s">
        <v>21</v>
      </c>
      <c r="D227" s="1" t="s">
        <v>27</v>
      </c>
      <c r="E227" s="10">
        <v>16</v>
      </c>
      <c r="F227" s="10">
        <v>1477</v>
      </c>
      <c r="G227" s="1" t="s">
        <v>35</v>
      </c>
      <c r="H227" s="10">
        <f t="shared" si="6"/>
        <v>23632</v>
      </c>
      <c r="I227" s="7">
        <v>16576.119472550821</v>
      </c>
      <c r="J227" s="7">
        <f t="shared" si="7"/>
        <v>7055.8805274491788</v>
      </c>
      <c r="K227" s="1">
        <f>IF(B227="North",28.6,
IF(B227="South",13,
IF(B227="East",22.6,
IF(B227="West",19,
23.5))))</f>
        <v>22.6</v>
      </c>
      <c r="L227" s="1">
        <f>IF(B227="North",77.2,
IF(B227="South",80.2,
IF(B227="East",88.4,
IF(B227="West",72.8,
78.9))))</f>
        <v>88.4</v>
      </c>
    </row>
    <row r="228" spans="1:12" x14ac:dyDescent="0.25">
      <c r="A228" s="5">
        <v>45585</v>
      </c>
      <c r="B228" s="1" t="s">
        <v>10</v>
      </c>
      <c r="C228" s="1" t="s">
        <v>17</v>
      </c>
      <c r="D228" s="1" t="s">
        <v>27</v>
      </c>
      <c r="E228" s="10">
        <v>9</v>
      </c>
      <c r="F228" s="10">
        <v>385</v>
      </c>
      <c r="G228" s="1" t="s">
        <v>33</v>
      </c>
      <c r="H228" s="10">
        <f t="shared" si="6"/>
        <v>3465</v>
      </c>
      <c r="I228" s="7">
        <v>2393.6002178233848</v>
      </c>
      <c r="J228" s="7">
        <f t="shared" si="7"/>
        <v>1071.3997821766152</v>
      </c>
      <c r="K228" s="1">
        <f>IF(B228="North",28.6,
IF(B228="South",13,
IF(B228="East",22.6,
IF(B228="West",19,
23.5))))</f>
        <v>28.6</v>
      </c>
      <c r="L228" s="1">
        <f>IF(B228="North",77.2,
IF(B228="South",80.2,
IF(B228="East",88.4,
IF(B228="West",72.8,
78.9))))</f>
        <v>77.2</v>
      </c>
    </row>
    <row r="229" spans="1:12" x14ac:dyDescent="0.25">
      <c r="A229" s="5">
        <v>45571</v>
      </c>
      <c r="B229" s="1" t="s">
        <v>11</v>
      </c>
      <c r="C229" s="1" t="s">
        <v>21</v>
      </c>
      <c r="D229" s="1" t="s">
        <v>29</v>
      </c>
      <c r="E229" s="10">
        <v>4</v>
      </c>
      <c r="F229" s="10">
        <v>-10</v>
      </c>
      <c r="G229" s="1" t="s">
        <v>35</v>
      </c>
      <c r="H229" s="10">
        <f t="shared" si="6"/>
        <v>-40</v>
      </c>
      <c r="I229" s="7">
        <v>-34.41717713140855</v>
      </c>
      <c r="J229" s="7">
        <f t="shared" si="7"/>
        <v>-5.5828228685914496</v>
      </c>
      <c r="K229" s="1">
        <f>IF(B229="North",28.6,
IF(B229="South",13,
IF(B229="East",22.6,
IF(B229="West",19,
23.5))))</f>
        <v>19</v>
      </c>
      <c r="L229" s="1">
        <f>IF(B229="North",77.2,
IF(B229="South",80.2,
IF(B229="East",88.4,
IF(B229="West",72.8,
78.9))))</f>
        <v>72.8</v>
      </c>
    </row>
    <row r="230" spans="1:12" x14ac:dyDescent="0.25">
      <c r="A230" s="5">
        <v>45616</v>
      </c>
      <c r="B230" s="1" t="s">
        <v>12</v>
      </c>
      <c r="C230" s="1" t="s">
        <v>24</v>
      </c>
      <c r="D230" s="1" t="s">
        <v>31</v>
      </c>
      <c r="E230" s="10">
        <v>15</v>
      </c>
      <c r="F230" s="10">
        <v>1226</v>
      </c>
      <c r="G230" s="1" t="s">
        <v>35</v>
      </c>
      <c r="H230" s="10">
        <f t="shared" si="6"/>
        <v>18390</v>
      </c>
      <c r="I230" s="7">
        <v>13953.174564777661</v>
      </c>
      <c r="J230" s="7">
        <f t="shared" si="7"/>
        <v>4436.8254352223394</v>
      </c>
      <c r="K230" s="1">
        <f>IF(B230="North",28.6,
IF(B230="South",13,
IF(B230="East",22.6,
IF(B230="West",19,
23.5))))</f>
        <v>22.6</v>
      </c>
      <c r="L230" s="1">
        <f>IF(B230="North",77.2,
IF(B230="South",80.2,
IF(B230="East",88.4,
IF(B230="West",72.8,
78.9))))</f>
        <v>88.4</v>
      </c>
    </row>
    <row r="231" spans="1:12" x14ac:dyDescent="0.25">
      <c r="A231" s="5">
        <v>45389</v>
      </c>
      <c r="B231" s="1" t="s">
        <v>12</v>
      </c>
      <c r="C231" s="1" t="s">
        <v>24</v>
      </c>
      <c r="D231" s="1" t="s">
        <v>27</v>
      </c>
      <c r="E231" s="10">
        <v>12</v>
      </c>
      <c r="F231" s="10">
        <v>162</v>
      </c>
      <c r="G231" s="1" t="s">
        <v>35</v>
      </c>
      <c r="H231" s="10">
        <f t="shared" si="6"/>
        <v>1944</v>
      </c>
      <c r="I231" s="7">
        <v>1379.0173156931839</v>
      </c>
      <c r="J231" s="7">
        <f t="shared" si="7"/>
        <v>564.98268430681605</v>
      </c>
      <c r="K231" s="1">
        <f>IF(B231="North",28.6,
IF(B231="South",13,
IF(B231="East",22.6,
IF(B231="West",19,
23.5))))</f>
        <v>22.6</v>
      </c>
      <c r="L231" s="1">
        <f>IF(B231="North",77.2,
IF(B231="South",80.2,
IF(B231="East",88.4,
IF(B231="West",72.8,
78.9))))</f>
        <v>88.4</v>
      </c>
    </row>
    <row r="232" spans="1:12" x14ac:dyDescent="0.25">
      <c r="A232" s="5">
        <v>45489</v>
      </c>
      <c r="B232" s="1" t="s">
        <v>12</v>
      </c>
      <c r="C232" s="1" t="s">
        <v>21</v>
      </c>
      <c r="D232" s="1" t="s">
        <v>27</v>
      </c>
      <c r="E232" s="10">
        <v>3</v>
      </c>
      <c r="F232" s="10">
        <v>786</v>
      </c>
      <c r="G232" s="1" t="s">
        <v>35</v>
      </c>
      <c r="H232" s="10">
        <f t="shared" si="6"/>
        <v>2358</v>
      </c>
      <c r="I232" s="7">
        <v>1603.02450410602</v>
      </c>
      <c r="J232" s="7">
        <f t="shared" si="7"/>
        <v>754.97549589398</v>
      </c>
      <c r="K232" s="1">
        <f>IF(B232="North",28.6,
IF(B232="South",13,
IF(B232="East",22.6,
IF(B232="West",19,
23.5))))</f>
        <v>22.6</v>
      </c>
      <c r="L232" s="1">
        <f>IF(B232="North",77.2,
IF(B232="South",80.2,
IF(B232="East",88.4,
IF(B232="West",72.8,
78.9))))</f>
        <v>88.4</v>
      </c>
    </row>
    <row r="233" spans="1:12" x14ac:dyDescent="0.25">
      <c r="A233" s="5">
        <v>45531</v>
      </c>
      <c r="B233" s="1" t="s">
        <v>11</v>
      </c>
      <c r="C233" s="1" t="s">
        <v>19</v>
      </c>
      <c r="D233" s="1" t="s">
        <v>28</v>
      </c>
      <c r="E233" s="10">
        <v>14</v>
      </c>
      <c r="F233" s="10">
        <v>1405</v>
      </c>
      <c r="G233" s="1" t="s">
        <v>35</v>
      </c>
      <c r="H233" s="10">
        <f t="shared" si="6"/>
        <v>19670</v>
      </c>
      <c r="I233" s="7">
        <v>15286.59838179152</v>
      </c>
      <c r="J233" s="7">
        <f t="shared" si="7"/>
        <v>4383.4016182084797</v>
      </c>
      <c r="K233" s="1">
        <f>IF(B233="North",28.6,
IF(B233="South",13,
IF(B233="East",22.6,
IF(B233="West",19,
23.5))))</f>
        <v>19</v>
      </c>
      <c r="L233" s="1">
        <f>IF(B233="North",77.2,
IF(B233="South",80.2,
IF(B233="East",88.4,
IF(B233="West",72.8,
78.9))))</f>
        <v>72.8</v>
      </c>
    </row>
    <row r="234" spans="1:12" x14ac:dyDescent="0.25">
      <c r="A234" s="5">
        <v>45435</v>
      </c>
      <c r="B234" s="1" t="s">
        <v>10</v>
      </c>
      <c r="C234" s="1" t="s">
        <v>19</v>
      </c>
      <c r="D234" s="1" t="s">
        <v>31</v>
      </c>
      <c r="E234" s="10">
        <v>17</v>
      </c>
      <c r="F234" s="10">
        <v>1564</v>
      </c>
      <c r="G234" s="1" t="s">
        <v>35</v>
      </c>
      <c r="H234" s="10">
        <f t="shared" si="6"/>
        <v>26588</v>
      </c>
      <c r="I234" s="7">
        <v>17162.605638230089</v>
      </c>
      <c r="J234" s="7">
        <f t="shared" si="7"/>
        <v>9425.3943617699115</v>
      </c>
      <c r="K234" s="1">
        <f>IF(B234="North",28.6,
IF(B234="South",13,
IF(B234="East",22.6,
IF(B234="West",19,
23.5))))</f>
        <v>28.6</v>
      </c>
      <c r="L234" s="1">
        <f>IF(B234="North",77.2,
IF(B234="South",80.2,
IF(B234="East",88.4,
IF(B234="West",72.8,
78.9))))</f>
        <v>77.2</v>
      </c>
    </row>
    <row r="235" spans="1:12" x14ac:dyDescent="0.25">
      <c r="A235" s="5">
        <v>45388</v>
      </c>
      <c r="B235" s="1" t="s">
        <v>10</v>
      </c>
      <c r="C235" s="1" t="s">
        <v>18</v>
      </c>
      <c r="D235" s="1" t="s">
        <v>27</v>
      </c>
      <c r="E235" s="10">
        <v>19</v>
      </c>
      <c r="F235" s="10">
        <v>1416</v>
      </c>
      <c r="G235" s="1" t="s">
        <v>34</v>
      </c>
      <c r="H235" s="10">
        <f t="shared" si="6"/>
        <v>26904</v>
      </c>
      <c r="I235" s="7">
        <v>18129.567927588079</v>
      </c>
      <c r="J235" s="7">
        <f t="shared" si="7"/>
        <v>8774.4320724119207</v>
      </c>
      <c r="K235" s="1">
        <f>IF(B235="North",28.6,
IF(B235="South",13,
IF(B235="East",22.6,
IF(B235="West",19,
23.5))))</f>
        <v>28.6</v>
      </c>
      <c r="L235" s="1">
        <f>IF(B235="North",77.2,
IF(B235="South",80.2,
IF(B235="East",88.4,
IF(B235="West",72.8,
78.9))))</f>
        <v>77.2</v>
      </c>
    </row>
    <row r="236" spans="1:12" x14ac:dyDescent="0.25">
      <c r="A236" s="5">
        <v>45492</v>
      </c>
      <c r="B236" s="1" t="s">
        <v>13</v>
      </c>
      <c r="C236" s="1" t="s">
        <v>21</v>
      </c>
      <c r="D236" s="1" t="s">
        <v>32</v>
      </c>
      <c r="E236" s="10">
        <v>6</v>
      </c>
      <c r="F236" s="10">
        <v>837</v>
      </c>
      <c r="G236" s="1" t="s">
        <v>35</v>
      </c>
      <c r="H236" s="10">
        <f t="shared" si="6"/>
        <v>5022</v>
      </c>
      <c r="I236" s="7">
        <v>3455.5560878865522</v>
      </c>
      <c r="J236" s="7">
        <f t="shared" si="7"/>
        <v>1566.4439121134478</v>
      </c>
      <c r="K236" s="1">
        <f>IF(B236="North",28.6,
IF(B236="South",13,
IF(B236="East",22.6,
IF(B236="West",19,
23.5))))</f>
        <v>13</v>
      </c>
      <c r="L236" s="1">
        <f>IF(B236="North",77.2,
IF(B236="South",80.2,
IF(B236="East",88.4,
IF(B236="West",72.8,
78.9))))</f>
        <v>80.2</v>
      </c>
    </row>
    <row r="237" spans="1:12" x14ac:dyDescent="0.25">
      <c r="A237" s="5">
        <v>45415</v>
      </c>
      <c r="B237" s="1" t="s">
        <v>12</v>
      </c>
      <c r="C237" s="1" t="s">
        <v>17</v>
      </c>
      <c r="D237" s="1" t="s">
        <v>25</v>
      </c>
      <c r="E237" s="10">
        <v>4</v>
      </c>
      <c r="F237" s="10">
        <v>1130</v>
      </c>
      <c r="G237" s="1" t="s">
        <v>33</v>
      </c>
      <c r="H237" s="10">
        <f t="shared" si="6"/>
        <v>4520</v>
      </c>
      <c r="I237" s="7">
        <v>3536.3245329550118</v>
      </c>
      <c r="J237" s="7">
        <f t="shared" si="7"/>
        <v>983.67546704498818</v>
      </c>
      <c r="K237" s="1">
        <f>IF(B237="North",28.6,
IF(B237="South",13,
IF(B237="East",22.6,
IF(B237="West",19,
23.5))))</f>
        <v>22.6</v>
      </c>
      <c r="L237" s="1">
        <f>IF(B237="North",77.2,
IF(B237="South",80.2,
IF(B237="East",88.4,
IF(B237="West",72.8,
78.9))))</f>
        <v>88.4</v>
      </c>
    </row>
    <row r="238" spans="1:12" x14ac:dyDescent="0.25">
      <c r="A238" s="5">
        <v>45478</v>
      </c>
      <c r="B238" s="1" t="s">
        <v>13</v>
      </c>
      <c r="C238" s="1" t="s">
        <v>18</v>
      </c>
      <c r="D238" s="1" t="s">
        <v>27</v>
      </c>
      <c r="E238" s="10">
        <v>7</v>
      </c>
      <c r="F238" s="10">
        <v>738</v>
      </c>
      <c r="G238" s="1" t="s">
        <v>34</v>
      </c>
      <c r="H238" s="10">
        <f t="shared" si="6"/>
        <v>5166</v>
      </c>
      <c r="I238" s="7">
        <v>3678.0705354837328</v>
      </c>
      <c r="J238" s="7">
        <f t="shared" si="7"/>
        <v>1487.9294645162672</v>
      </c>
      <c r="K238" s="1">
        <f>IF(B238="North",28.6,
IF(B238="South",13,
IF(B238="East",22.6,
IF(B238="West",19,
23.5))))</f>
        <v>13</v>
      </c>
      <c r="L238" s="1">
        <f>IF(B238="North",77.2,
IF(B238="South",80.2,
IF(B238="East",88.4,
IF(B238="West",72.8,
78.9))))</f>
        <v>80.2</v>
      </c>
    </row>
    <row r="239" spans="1:12" x14ac:dyDescent="0.25">
      <c r="A239" s="5">
        <v>45617</v>
      </c>
      <c r="B239" s="1" t="s">
        <v>13</v>
      </c>
      <c r="C239" s="1" t="s">
        <v>20</v>
      </c>
      <c r="D239" s="1" t="s">
        <v>25</v>
      </c>
      <c r="E239" s="10">
        <v>19</v>
      </c>
      <c r="F239" s="10">
        <v>1035</v>
      </c>
      <c r="G239" s="1" t="s">
        <v>33</v>
      </c>
      <c r="H239" s="10">
        <f t="shared" si="6"/>
        <v>19665</v>
      </c>
      <c r="I239" s="7">
        <v>14782.868579058229</v>
      </c>
      <c r="J239" s="7">
        <f t="shared" si="7"/>
        <v>4882.1314209417706</v>
      </c>
      <c r="K239" s="1">
        <f>IF(B239="North",28.6,
IF(B239="South",13,
IF(B239="East",22.6,
IF(B239="West",19,
23.5))))</f>
        <v>13</v>
      </c>
      <c r="L239" s="1">
        <f>IF(B239="North",77.2,
IF(B239="South",80.2,
IF(B239="East",88.4,
IF(B239="West",72.8,
78.9))))</f>
        <v>80.2</v>
      </c>
    </row>
    <row r="240" spans="1:12" x14ac:dyDescent="0.25">
      <c r="A240" s="5">
        <v>45640</v>
      </c>
      <c r="B240" s="1" t="s">
        <v>10</v>
      </c>
      <c r="C240" s="1" t="s">
        <v>19</v>
      </c>
      <c r="D240" s="1" t="s">
        <v>31</v>
      </c>
      <c r="E240" s="10">
        <v>17</v>
      </c>
      <c r="F240" s="10">
        <v>1215</v>
      </c>
      <c r="G240" s="1" t="s">
        <v>35</v>
      </c>
      <c r="H240" s="10">
        <f t="shared" si="6"/>
        <v>20655</v>
      </c>
      <c r="I240" s="7">
        <v>16423.440701429648</v>
      </c>
      <c r="J240" s="7">
        <f t="shared" si="7"/>
        <v>4231.5592985703515</v>
      </c>
      <c r="K240" s="1">
        <f>IF(B240="North",28.6,
IF(B240="South",13,
IF(B240="East",22.6,
IF(B240="West",19,
23.5))))</f>
        <v>28.6</v>
      </c>
      <c r="L240" s="1">
        <f>IF(B240="North",77.2,
IF(B240="South",80.2,
IF(B240="East",88.4,
IF(B240="West",72.8,
78.9))))</f>
        <v>77.2</v>
      </c>
    </row>
    <row r="241" spans="1:12" x14ac:dyDescent="0.25">
      <c r="A241" s="5">
        <v>45550</v>
      </c>
      <c r="B241" s="1" t="s">
        <v>11</v>
      </c>
      <c r="C241" s="1" t="s">
        <v>22</v>
      </c>
      <c r="D241" s="1" t="s">
        <v>29</v>
      </c>
      <c r="E241" s="10">
        <v>16</v>
      </c>
      <c r="F241" s="10">
        <v>1313</v>
      </c>
      <c r="G241" s="1" t="s">
        <v>35</v>
      </c>
      <c r="H241" s="10">
        <f t="shared" si="6"/>
        <v>21008</v>
      </c>
      <c r="I241" s="7">
        <v>18631.606136930372</v>
      </c>
      <c r="J241" s="7">
        <f t="shared" si="7"/>
        <v>2376.3938630696284</v>
      </c>
      <c r="K241" s="1">
        <f>IF(B241="North",28.6,
IF(B241="South",13,
IF(B241="East",22.6,
IF(B241="West",19,
23.5))))</f>
        <v>19</v>
      </c>
      <c r="L241" s="1">
        <f>IF(B241="North",77.2,
IF(B241="South",80.2,
IF(B241="East",88.4,
IF(B241="West",72.8,
78.9))))</f>
        <v>72.8</v>
      </c>
    </row>
    <row r="242" spans="1:12" x14ac:dyDescent="0.25">
      <c r="A242" s="5">
        <v>45439</v>
      </c>
      <c r="B242" s="1" t="s">
        <v>11</v>
      </c>
      <c r="C242" s="1" t="s">
        <v>18</v>
      </c>
      <c r="D242" s="1" t="s">
        <v>26</v>
      </c>
      <c r="E242" s="10">
        <v>10</v>
      </c>
      <c r="F242" s="10">
        <v>1994</v>
      </c>
      <c r="G242" s="1" t="s">
        <v>34</v>
      </c>
      <c r="H242" s="10">
        <f t="shared" si="6"/>
        <v>19940</v>
      </c>
      <c r="I242" s="7">
        <f>H242*0.7</f>
        <v>13958</v>
      </c>
      <c r="J242" s="7">
        <f t="shared" si="7"/>
        <v>5982</v>
      </c>
      <c r="K242" s="1">
        <f>IF(B242="North",28.6,
IF(B242="South",13,
IF(B242="East",22.6,
IF(B242="West",19,
23.5))))</f>
        <v>19</v>
      </c>
      <c r="L242" s="1">
        <f>IF(B242="North",77.2,
IF(B242="South",80.2,
IF(B242="East",88.4,
IF(B242="West",72.8,
78.9))))</f>
        <v>72.8</v>
      </c>
    </row>
    <row r="243" spans="1:12" x14ac:dyDescent="0.25">
      <c r="A243" s="5">
        <v>45543</v>
      </c>
      <c r="B243" s="1" t="s">
        <v>10</v>
      </c>
      <c r="C243" s="1" t="s">
        <v>24</v>
      </c>
      <c r="D243" s="1" t="s">
        <v>31</v>
      </c>
      <c r="E243" s="10">
        <v>8</v>
      </c>
      <c r="F243" s="10">
        <v>575</v>
      </c>
      <c r="G243" s="1" t="s">
        <v>35</v>
      </c>
      <c r="H243" s="10">
        <f t="shared" si="6"/>
        <v>4600</v>
      </c>
      <c r="I243" s="7">
        <v>3319.254357189508</v>
      </c>
      <c r="J243" s="7">
        <f t="shared" si="7"/>
        <v>1280.745642810492</v>
      </c>
      <c r="K243" s="1">
        <f>IF(B243="North",28.6,
IF(B243="South",13,
IF(B243="East",22.6,
IF(B243="West",19,
23.5))))</f>
        <v>28.6</v>
      </c>
      <c r="L243" s="1">
        <f>IF(B243="North",77.2,
IF(B243="South",80.2,
IF(B243="East",88.4,
IF(B243="West",72.8,
78.9))))</f>
        <v>77.2</v>
      </c>
    </row>
    <row r="244" spans="1:12" x14ac:dyDescent="0.25">
      <c r="A244" s="5">
        <v>45637</v>
      </c>
      <c r="B244" s="1" t="s">
        <v>11</v>
      </c>
      <c r="C244" s="1" t="s">
        <v>18</v>
      </c>
      <c r="D244" s="1" t="s">
        <v>28</v>
      </c>
      <c r="E244" s="10">
        <v>19</v>
      </c>
      <c r="F244" s="10">
        <v>1634</v>
      </c>
      <c r="G244" s="1" t="s">
        <v>34</v>
      </c>
      <c r="H244" s="10">
        <f t="shared" si="6"/>
        <v>31046</v>
      </c>
      <c r="I244" s="7">
        <v>25596.887182061171</v>
      </c>
      <c r="J244" s="7">
        <f t="shared" si="7"/>
        <v>5449.1128179388288</v>
      </c>
      <c r="K244" s="1">
        <f>IF(B244="North",28.6,
IF(B244="South",13,
IF(B244="East",22.6,
IF(B244="West",19,
23.5))))</f>
        <v>19</v>
      </c>
      <c r="L244" s="1">
        <f>IF(B244="North",77.2,
IF(B244="South",80.2,
IF(B244="East",88.4,
IF(B244="West",72.8,
78.9))))</f>
        <v>72.8</v>
      </c>
    </row>
    <row r="245" spans="1:12" x14ac:dyDescent="0.25">
      <c r="A245" s="5">
        <v>45438</v>
      </c>
      <c r="B245" s="1" t="s">
        <v>13</v>
      </c>
      <c r="C245" s="1" t="s">
        <v>21</v>
      </c>
      <c r="D245" s="1" t="s">
        <v>26</v>
      </c>
      <c r="E245" s="10">
        <v>8</v>
      </c>
      <c r="F245" s="10">
        <v>1585</v>
      </c>
      <c r="G245" s="1" t="s">
        <v>35</v>
      </c>
      <c r="H245" s="10">
        <f t="shared" si="6"/>
        <v>12680</v>
      </c>
      <c r="I245" s="7">
        <v>11220.636664216679</v>
      </c>
      <c r="J245" s="7">
        <f t="shared" si="7"/>
        <v>1459.3633357833205</v>
      </c>
      <c r="K245" s="1">
        <f>IF(B245="North",28.6,
IF(B245="South",13,
IF(B245="East",22.6,
IF(B245="West",19,
23.5))))</f>
        <v>13</v>
      </c>
      <c r="L245" s="1">
        <f>IF(B245="North",77.2,
IF(B245="South",80.2,
IF(B245="East",88.4,
IF(B245="West",72.8,
78.9))))</f>
        <v>80.2</v>
      </c>
    </row>
    <row r="246" spans="1:12" x14ac:dyDescent="0.25">
      <c r="A246" s="5">
        <v>45439</v>
      </c>
      <c r="B246" s="1" t="s">
        <v>12</v>
      </c>
      <c r="C246" s="1" t="s">
        <v>22</v>
      </c>
      <c r="D246" s="1" t="s">
        <v>32</v>
      </c>
      <c r="E246" s="10">
        <v>18</v>
      </c>
      <c r="F246" s="10">
        <v>152</v>
      </c>
      <c r="G246" s="1" t="s">
        <v>35</v>
      </c>
      <c r="H246" s="10">
        <f t="shared" si="6"/>
        <v>2736</v>
      </c>
      <c r="I246" s="7">
        <v>2051.4915518729058</v>
      </c>
      <c r="J246" s="7">
        <f t="shared" si="7"/>
        <v>684.5084481270942</v>
      </c>
      <c r="K246" s="1">
        <f>IF(B246="North",28.6,
IF(B246="South",13,
IF(B246="East",22.6,
IF(B246="West",19,
23.5))))</f>
        <v>22.6</v>
      </c>
      <c r="L246" s="1">
        <f>IF(B246="North",77.2,
IF(B246="South",80.2,
IF(B246="East",88.4,
IF(B246="West",72.8,
78.9))))</f>
        <v>88.4</v>
      </c>
    </row>
    <row r="247" spans="1:12" x14ac:dyDescent="0.25">
      <c r="A247" s="5">
        <v>45643</v>
      </c>
      <c r="B247" s="1" t="s">
        <v>10</v>
      </c>
      <c r="C247" s="1" t="s">
        <v>21</v>
      </c>
      <c r="D247" s="1" t="s">
        <v>30</v>
      </c>
      <c r="E247" s="10">
        <v>16</v>
      </c>
      <c r="F247" s="10">
        <v>853</v>
      </c>
      <c r="G247" s="1" t="s">
        <v>35</v>
      </c>
      <c r="H247" s="10">
        <f t="shared" si="6"/>
        <v>13648</v>
      </c>
      <c r="I247" s="7">
        <v>9869.5386429783593</v>
      </c>
      <c r="J247" s="7">
        <f t="shared" si="7"/>
        <v>3778.4613570216407</v>
      </c>
      <c r="K247" s="1">
        <f>IF(B247="North",28.6,
IF(B247="South",13,
IF(B247="East",22.6,
IF(B247="West",19,
23.5))))</f>
        <v>28.6</v>
      </c>
      <c r="L247" s="1">
        <f>IF(B247="North",77.2,
IF(B247="South",80.2,
IF(B247="East",88.4,
IF(B247="West",72.8,
78.9))))</f>
        <v>77.2</v>
      </c>
    </row>
    <row r="248" spans="1:12" x14ac:dyDescent="0.25">
      <c r="A248" s="5">
        <v>45490</v>
      </c>
      <c r="B248" s="1" t="s">
        <v>12</v>
      </c>
      <c r="C248" s="1" t="s">
        <v>23</v>
      </c>
      <c r="D248" s="1" t="s">
        <v>25</v>
      </c>
      <c r="E248" s="10">
        <v>19</v>
      </c>
      <c r="F248" s="10">
        <v>585</v>
      </c>
      <c r="G248" s="1" t="s">
        <v>34</v>
      </c>
      <c r="H248" s="10">
        <f t="shared" si="6"/>
        <v>11115</v>
      </c>
      <c r="I248" s="7">
        <v>6929.1533518179558</v>
      </c>
      <c r="J248" s="7">
        <f t="shared" si="7"/>
        <v>4185.8466481820442</v>
      </c>
      <c r="K248" s="1">
        <f>IF(B248="North",28.6,
IF(B248="South",13,
IF(B248="East",22.6,
IF(B248="West",19,
23.5))))</f>
        <v>22.6</v>
      </c>
      <c r="L248" s="1">
        <f>IF(B248="North",77.2,
IF(B248="South",80.2,
IF(B248="East",88.4,
IF(B248="West",72.8,
78.9))))</f>
        <v>88.4</v>
      </c>
    </row>
    <row r="249" spans="1:12" x14ac:dyDescent="0.25">
      <c r="A249" s="5">
        <v>45599</v>
      </c>
      <c r="B249" s="1" t="s">
        <v>11</v>
      </c>
      <c r="C249" s="1" t="s">
        <v>24</v>
      </c>
      <c r="D249" s="1" t="s">
        <v>25</v>
      </c>
      <c r="E249" s="10">
        <v>10</v>
      </c>
      <c r="F249" s="10">
        <v>1767</v>
      </c>
      <c r="G249" s="1" t="s">
        <v>35</v>
      </c>
      <c r="H249" s="10">
        <f t="shared" si="6"/>
        <v>17670</v>
      </c>
      <c r="I249" s="7">
        <v>15332.455334820221</v>
      </c>
      <c r="J249" s="7">
        <f t="shared" si="7"/>
        <v>2337.5446651797793</v>
      </c>
      <c r="K249" s="1">
        <f>IF(B249="North",28.6,
IF(B249="South",13,
IF(B249="East",22.6,
IF(B249="West",19,
23.5))))</f>
        <v>19</v>
      </c>
      <c r="L249" s="1">
        <f>IF(B249="North",77.2,
IF(B249="South",80.2,
IF(B249="East",88.4,
IF(B249="West",72.8,
78.9))))</f>
        <v>72.8</v>
      </c>
    </row>
    <row r="250" spans="1:12" x14ac:dyDescent="0.25">
      <c r="A250" s="5">
        <v>45419</v>
      </c>
      <c r="B250" s="1" t="s">
        <v>12</v>
      </c>
      <c r="C250" s="1" t="s">
        <v>24</v>
      </c>
      <c r="D250" s="1" t="s">
        <v>25</v>
      </c>
      <c r="E250" s="10">
        <v>17</v>
      </c>
      <c r="F250" s="10">
        <v>1613</v>
      </c>
      <c r="G250" s="1" t="s">
        <v>35</v>
      </c>
      <c r="H250" s="10">
        <f t="shared" si="6"/>
        <v>27421</v>
      </c>
      <c r="I250" s="7">
        <v>18479.84232409285</v>
      </c>
      <c r="J250" s="7">
        <f t="shared" si="7"/>
        <v>8941.1576759071504</v>
      </c>
      <c r="K250" s="1">
        <f>IF(B250="North",28.6,
IF(B250="South",13,
IF(B250="East",22.6,
IF(B250="West",19,
23.5))))</f>
        <v>22.6</v>
      </c>
      <c r="L250" s="1">
        <f>IF(B250="North",77.2,
IF(B250="South",80.2,
IF(B250="East",88.4,
IF(B250="West",72.8,
78.9))))</f>
        <v>88.4</v>
      </c>
    </row>
    <row r="251" spans="1:12" x14ac:dyDescent="0.25">
      <c r="A251" s="5">
        <v>45330</v>
      </c>
      <c r="B251" s="1" t="s">
        <v>11</v>
      </c>
      <c r="C251" s="1" t="s">
        <v>19</v>
      </c>
      <c r="D251" s="1" t="s">
        <v>31</v>
      </c>
      <c r="E251" s="10">
        <v>13</v>
      </c>
      <c r="F251" s="10">
        <v>1487</v>
      </c>
      <c r="G251" s="1" t="s">
        <v>35</v>
      </c>
      <c r="H251" s="10">
        <f t="shared" si="6"/>
        <v>19331</v>
      </c>
      <c r="I251" s="7">
        <v>11969.511031023239</v>
      </c>
      <c r="J251" s="7">
        <f t="shared" si="7"/>
        <v>7361.4889689767606</v>
      </c>
      <c r="K251" s="1">
        <f>IF(B251="North",28.6,
IF(B251="South",13,
IF(B251="East",22.6,
IF(B251="West",19,
23.5))))</f>
        <v>19</v>
      </c>
      <c r="L251" s="1">
        <f>IF(B251="North",77.2,
IF(B251="South",80.2,
IF(B251="East",88.4,
IF(B251="West",72.8,
78.9))))</f>
        <v>72.8</v>
      </c>
    </row>
    <row r="252" spans="1:12" x14ac:dyDescent="0.25">
      <c r="A252" s="5">
        <v>45629</v>
      </c>
      <c r="B252" s="1" t="s">
        <v>11</v>
      </c>
      <c r="C252" s="1" t="s">
        <v>18</v>
      </c>
      <c r="D252" s="1" t="s">
        <v>25</v>
      </c>
      <c r="E252" s="10">
        <v>13</v>
      </c>
      <c r="F252" s="10">
        <v>1235</v>
      </c>
      <c r="G252" s="1" t="s">
        <v>34</v>
      </c>
      <c r="H252" s="10">
        <f t="shared" si="6"/>
        <v>16055</v>
      </c>
      <c r="I252" s="7">
        <v>12220.440593165949</v>
      </c>
      <c r="J252" s="7">
        <f t="shared" si="7"/>
        <v>3834.5594068340506</v>
      </c>
      <c r="K252" s="1">
        <f>IF(B252="North",28.6,
IF(B252="South",13,
IF(B252="East",22.6,
IF(B252="West",19,
23.5))))</f>
        <v>19</v>
      </c>
      <c r="L252" s="1">
        <f>IF(B252="North",77.2,
IF(B252="South",80.2,
IF(B252="East",88.4,
IF(B252="West",72.8,
78.9))))</f>
        <v>72.8</v>
      </c>
    </row>
    <row r="253" spans="1:12" x14ac:dyDescent="0.25">
      <c r="A253" s="5">
        <v>45651</v>
      </c>
      <c r="B253" s="1" t="s">
        <v>13</v>
      </c>
      <c r="C253" s="1" t="s">
        <v>19</v>
      </c>
      <c r="D253" s="1" t="s">
        <v>29</v>
      </c>
      <c r="E253" s="10">
        <v>7</v>
      </c>
      <c r="F253" s="10">
        <v>508</v>
      </c>
      <c r="G253" s="1" t="s">
        <v>35</v>
      </c>
      <c r="H253" s="10">
        <f t="shared" si="6"/>
        <v>3556</v>
      </c>
      <c r="I253" s="7">
        <v>3036.0057423117551</v>
      </c>
      <c r="J253" s="7">
        <f t="shared" si="7"/>
        <v>519.99425768824494</v>
      </c>
      <c r="K253" s="1">
        <f>IF(B253="North",28.6,
IF(B253="South",13,
IF(B253="East",22.6,
IF(B253="West",19,
23.5))))</f>
        <v>13</v>
      </c>
      <c r="L253" s="1">
        <f>IF(B253="North",77.2,
IF(B253="South",80.2,
IF(B253="East",88.4,
IF(B253="West",72.8,
78.9))))</f>
        <v>80.2</v>
      </c>
    </row>
    <row r="254" spans="1:12" x14ac:dyDescent="0.25">
      <c r="A254" s="5">
        <v>45420</v>
      </c>
      <c r="B254" s="1" t="s">
        <v>11</v>
      </c>
      <c r="C254" s="1" t="s">
        <v>22</v>
      </c>
      <c r="D254" s="1" t="s">
        <v>25</v>
      </c>
      <c r="E254" s="10">
        <v>10</v>
      </c>
      <c r="F254" s="10">
        <v>1130</v>
      </c>
      <c r="G254" s="1" t="s">
        <v>35</v>
      </c>
      <c r="H254" s="10">
        <f t="shared" si="6"/>
        <v>11300</v>
      </c>
      <c r="I254" s="7">
        <v>8158.4928385621479</v>
      </c>
      <c r="J254" s="7">
        <f t="shared" si="7"/>
        <v>3141.5071614378521</v>
      </c>
      <c r="K254" s="1">
        <f>IF(B254="North",28.6,
IF(B254="South",13,
IF(B254="East",22.6,
IF(B254="West",19,
23.5))))</f>
        <v>19</v>
      </c>
      <c r="L254" s="1">
        <f>IF(B254="North",77.2,
IF(B254="South",80.2,
IF(B254="East",88.4,
IF(B254="West",72.8,
78.9))))</f>
        <v>72.8</v>
      </c>
    </row>
    <row r="255" spans="1:12" x14ac:dyDescent="0.25">
      <c r="A255" s="5">
        <v>45558</v>
      </c>
      <c r="B255" s="1" t="s">
        <v>13</v>
      </c>
      <c r="C255" s="1" t="s">
        <v>18</v>
      </c>
      <c r="D255" s="1" t="s">
        <v>28</v>
      </c>
      <c r="E255" s="10">
        <v>2</v>
      </c>
      <c r="F255" s="10">
        <v>1865</v>
      </c>
      <c r="G255" s="1" t="s">
        <v>34</v>
      </c>
      <c r="H255" s="10">
        <f t="shared" si="6"/>
        <v>3730</v>
      </c>
      <c r="I255" s="7">
        <v>3114.252499107939</v>
      </c>
      <c r="J255" s="7">
        <f t="shared" si="7"/>
        <v>615.747500892061</v>
      </c>
      <c r="K255" s="1">
        <f>IF(B255="North",28.6,
IF(B255="South",13,
IF(B255="East",22.6,
IF(B255="West",19,
23.5))))</f>
        <v>13</v>
      </c>
      <c r="L255" s="1">
        <f>IF(B255="North",77.2,
IF(B255="South",80.2,
IF(B255="East",88.4,
IF(B255="West",72.8,
78.9))))</f>
        <v>80.2</v>
      </c>
    </row>
    <row r="256" spans="1:12" x14ac:dyDescent="0.25">
      <c r="A256" s="5">
        <v>45442</v>
      </c>
      <c r="B256" s="1" t="s">
        <v>13</v>
      </c>
      <c r="C256" s="1" t="s">
        <v>23</v>
      </c>
      <c r="D256" s="1" t="s">
        <v>32</v>
      </c>
      <c r="E256" s="10">
        <v>4</v>
      </c>
      <c r="F256" s="10">
        <v>767</v>
      </c>
      <c r="G256" s="1" t="s">
        <v>34</v>
      </c>
      <c r="H256" s="10">
        <f t="shared" si="6"/>
        <v>3068</v>
      </c>
      <c r="I256" s="7">
        <v>2610.6188851041902</v>
      </c>
      <c r="J256" s="7">
        <f t="shared" si="7"/>
        <v>457.38111489580979</v>
      </c>
      <c r="K256" s="1">
        <f>IF(B256="North",28.6,
IF(B256="South",13,
IF(B256="East",22.6,
IF(B256="West",19,
23.5))))</f>
        <v>13</v>
      </c>
      <c r="L256" s="1">
        <f>IF(B256="North",77.2,
IF(B256="South",80.2,
IF(B256="East",88.4,
IF(B256="West",72.8,
78.9))))</f>
        <v>80.2</v>
      </c>
    </row>
    <row r="257" spans="1:12" x14ac:dyDescent="0.25">
      <c r="A257" s="5">
        <v>45589</v>
      </c>
      <c r="B257" s="1" t="s">
        <v>13</v>
      </c>
      <c r="C257" s="1" t="s">
        <v>21</v>
      </c>
      <c r="D257" s="1" t="s">
        <v>25</v>
      </c>
      <c r="E257" s="10">
        <v>6</v>
      </c>
      <c r="F257" s="10">
        <v>1320</v>
      </c>
      <c r="G257" s="1" t="s">
        <v>35</v>
      </c>
      <c r="H257" s="10">
        <f t="shared" si="6"/>
        <v>7920</v>
      </c>
      <c r="I257" s="7">
        <v>5831.6628557559961</v>
      </c>
      <c r="J257" s="7">
        <f t="shared" si="7"/>
        <v>2088.3371442440039</v>
      </c>
      <c r="K257" s="1">
        <f>IF(B257="North",28.6,
IF(B257="South",13,
IF(B257="East",22.6,
IF(B257="West",19,
23.5))))</f>
        <v>13</v>
      </c>
      <c r="L257" s="1">
        <f>IF(B257="North",77.2,
IF(B257="South",80.2,
IF(B257="East",88.4,
IF(B257="West",72.8,
78.9))))</f>
        <v>80.2</v>
      </c>
    </row>
    <row r="258" spans="1:12" x14ac:dyDescent="0.25">
      <c r="A258" s="5">
        <v>45390</v>
      </c>
      <c r="B258" s="1" t="s">
        <v>10</v>
      </c>
      <c r="C258" s="1" t="s">
        <v>23</v>
      </c>
      <c r="D258" s="1" t="s">
        <v>25</v>
      </c>
      <c r="E258" s="10">
        <v>18</v>
      </c>
      <c r="F258" s="10">
        <v>934</v>
      </c>
      <c r="G258" s="1" t="s">
        <v>34</v>
      </c>
      <c r="H258" s="10">
        <f t="shared" si="6"/>
        <v>16812</v>
      </c>
      <c r="I258" s="7">
        <v>13067.74097057737</v>
      </c>
      <c r="J258" s="7">
        <f t="shared" si="7"/>
        <v>3744.2590294226302</v>
      </c>
      <c r="K258" s="1">
        <f>IF(B258="North",28.6,
IF(B258="South",13,
IF(B258="East",22.6,
IF(B258="West",19,
23.5))))</f>
        <v>28.6</v>
      </c>
      <c r="L258" s="1">
        <f>IF(B258="North",77.2,
IF(B258="South",80.2,
IF(B258="East",88.4,
IF(B258="West",72.8,
78.9))))</f>
        <v>77.2</v>
      </c>
    </row>
    <row r="259" spans="1:12" x14ac:dyDescent="0.25">
      <c r="A259" s="5">
        <v>45554</v>
      </c>
      <c r="B259" s="1" t="s">
        <v>10</v>
      </c>
      <c r="C259" s="1" t="s">
        <v>24</v>
      </c>
      <c r="D259" s="1" t="s">
        <v>26</v>
      </c>
      <c r="E259" s="10">
        <v>6</v>
      </c>
      <c r="F259" s="10">
        <v>975</v>
      </c>
      <c r="G259" s="1" t="s">
        <v>35</v>
      </c>
      <c r="H259" s="10">
        <f t="shared" ref="H259:H322" si="8">E259*F259</f>
        <v>5850</v>
      </c>
      <c r="I259" s="7">
        <v>4447.0160839358396</v>
      </c>
      <c r="J259" s="7">
        <f t="shared" ref="J259:J322" si="9">H259-I259</f>
        <v>1402.9839160641604</v>
      </c>
      <c r="K259" s="1">
        <f>IF(B259="North",28.6,
IF(B259="South",13,
IF(B259="East",22.6,
IF(B259="West",19,
23.5))))</f>
        <v>28.6</v>
      </c>
      <c r="L259" s="1">
        <f>IF(B259="North",77.2,
IF(B259="South",80.2,
IF(B259="East",88.4,
IF(B259="West",72.8,
78.9))))</f>
        <v>77.2</v>
      </c>
    </row>
    <row r="260" spans="1:12" x14ac:dyDescent="0.25">
      <c r="A260" s="5">
        <v>45543</v>
      </c>
      <c r="B260" s="1" t="s">
        <v>11</v>
      </c>
      <c r="C260" s="1" t="s">
        <v>22</v>
      </c>
      <c r="D260" s="1" t="s">
        <v>32</v>
      </c>
      <c r="E260" s="10">
        <v>17</v>
      </c>
      <c r="F260" s="10">
        <v>1858</v>
      </c>
      <c r="G260" s="1" t="s">
        <v>35</v>
      </c>
      <c r="H260" s="10">
        <f t="shared" si="8"/>
        <v>31586</v>
      </c>
      <c r="I260" s="7">
        <v>27851.232145676211</v>
      </c>
      <c r="J260" s="7">
        <f t="shared" si="9"/>
        <v>3734.7678543237889</v>
      </c>
      <c r="K260" s="1">
        <f>IF(B260="North",28.6,
IF(B260="South",13,
IF(B260="East",22.6,
IF(B260="West",19,
23.5))))</f>
        <v>19</v>
      </c>
      <c r="L260" s="1">
        <f>IF(B260="North",77.2,
IF(B260="South",80.2,
IF(B260="East",88.4,
IF(B260="West",72.8,
78.9))))</f>
        <v>72.8</v>
      </c>
    </row>
    <row r="261" spans="1:12" x14ac:dyDescent="0.25">
      <c r="A261" s="5">
        <v>45435</v>
      </c>
      <c r="B261" s="1" t="s">
        <v>13</v>
      </c>
      <c r="C261" s="1" t="s">
        <v>20</v>
      </c>
      <c r="D261" s="1" t="s">
        <v>25</v>
      </c>
      <c r="E261" s="10">
        <v>14</v>
      </c>
      <c r="F261" s="10">
        <v>1073.5</v>
      </c>
      <c r="G261" s="1" t="s">
        <v>33</v>
      </c>
      <c r="H261" s="10">
        <f t="shared" si="8"/>
        <v>15029</v>
      </c>
      <c r="I261" s="7">
        <f>H261*0.7</f>
        <v>10520.3</v>
      </c>
      <c r="J261" s="7">
        <f t="shared" si="9"/>
        <v>4508.7000000000007</v>
      </c>
      <c r="K261" s="1">
        <f>IF(B261="North",28.6,
IF(B261="South",13,
IF(B261="East",22.6,
IF(B261="West",19,
23.5))))</f>
        <v>13</v>
      </c>
      <c r="L261" s="1">
        <f>IF(B261="North",77.2,
IF(B261="South",80.2,
IF(B261="East",88.4,
IF(B261="West",72.8,
78.9))))</f>
        <v>80.2</v>
      </c>
    </row>
    <row r="262" spans="1:12" x14ac:dyDescent="0.25">
      <c r="A262" s="5">
        <v>45637</v>
      </c>
      <c r="B262" s="1" t="s">
        <v>10</v>
      </c>
      <c r="C262" s="1" t="s">
        <v>22</v>
      </c>
      <c r="D262" s="1" t="s">
        <v>31</v>
      </c>
      <c r="E262" s="10">
        <v>11</v>
      </c>
      <c r="F262" s="10">
        <v>1101</v>
      </c>
      <c r="G262" s="1" t="s">
        <v>35</v>
      </c>
      <c r="H262" s="10">
        <f t="shared" si="8"/>
        <v>12111</v>
      </c>
      <c r="I262" s="7">
        <v>10628.64803437105</v>
      </c>
      <c r="J262" s="7">
        <f t="shared" si="9"/>
        <v>1482.35196562895</v>
      </c>
      <c r="K262" s="1">
        <f>IF(B262="North",28.6,
IF(B262="South",13,
IF(B262="East",22.6,
IF(B262="West",19,
23.5))))</f>
        <v>28.6</v>
      </c>
      <c r="L262" s="1">
        <f>IF(B262="North",77.2,
IF(B262="South",80.2,
IF(B262="East",88.4,
IF(B262="West",72.8,
78.9))))</f>
        <v>77.2</v>
      </c>
    </row>
    <row r="263" spans="1:12" x14ac:dyDescent="0.25">
      <c r="A263" s="5">
        <v>45403</v>
      </c>
      <c r="B263" s="1" t="s">
        <v>13</v>
      </c>
      <c r="C263" s="1" t="s">
        <v>17</v>
      </c>
      <c r="D263" s="1" t="s">
        <v>27</v>
      </c>
      <c r="E263" s="10">
        <v>19</v>
      </c>
      <c r="F263" s="10">
        <v>349</v>
      </c>
      <c r="G263" s="1" t="s">
        <v>33</v>
      </c>
      <c r="H263" s="10">
        <f t="shared" si="8"/>
        <v>6631</v>
      </c>
      <c r="I263" s="7">
        <v>4416.2658493586796</v>
      </c>
      <c r="J263" s="7">
        <f t="shared" si="9"/>
        <v>2214.7341506413204</v>
      </c>
      <c r="K263" s="1">
        <f>IF(B263="North",28.6,
IF(B263="South",13,
IF(B263="East",22.6,
IF(B263="West",19,
23.5))))</f>
        <v>13</v>
      </c>
      <c r="L263" s="1">
        <f>IF(B263="North",77.2,
IF(B263="South",80.2,
IF(B263="East",88.4,
IF(B263="West",72.8,
78.9))))</f>
        <v>80.2</v>
      </c>
    </row>
    <row r="264" spans="1:12" x14ac:dyDescent="0.25">
      <c r="A264" s="5">
        <v>45351</v>
      </c>
      <c r="B264" s="1" t="s">
        <v>12</v>
      </c>
      <c r="C264" s="1" t="s">
        <v>22</v>
      </c>
      <c r="D264" s="1" t="s">
        <v>29</v>
      </c>
      <c r="E264" s="10">
        <v>2</v>
      </c>
      <c r="F264" s="10">
        <v>1718</v>
      </c>
      <c r="G264" s="1" t="s">
        <v>35</v>
      </c>
      <c r="H264" s="10">
        <f t="shared" si="8"/>
        <v>3436</v>
      </c>
      <c r="I264" s="7">
        <v>2381.392146869116</v>
      </c>
      <c r="J264" s="7">
        <f t="shared" si="9"/>
        <v>1054.607853130884</v>
      </c>
      <c r="K264" s="1">
        <f>IF(B264="North",28.6,
IF(B264="South",13,
IF(B264="East",22.6,
IF(B264="West",19,
23.5))))</f>
        <v>22.6</v>
      </c>
      <c r="L264" s="1">
        <f>IF(B264="North",77.2,
IF(B264="South",80.2,
IF(B264="East",88.4,
IF(B264="West",72.8,
78.9))))</f>
        <v>88.4</v>
      </c>
    </row>
    <row r="265" spans="1:12" x14ac:dyDescent="0.25">
      <c r="A265" s="5">
        <v>45293</v>
      </c>
      <c r="B265" s="1" t="s">
        <v>12</v>
      </c>
      <c r="C265" s="1" t="s">
        <v>23</v>
      </c>
      <c r="D265" s="1" t="s">
        <v>31</v>
      </c>
      <c r="E265" s="10">
        <v>3</v>
      </c>
      <c r="F265" s="10">
        <v>1363</v>
      </c>
      <c r="G265" s="1" t="s">
        <v>34</v>
      </c>
      <c r="H265" s="10">
        <f t="shared" si="8"/>
        <v>4089</v>
      </c>
      <c r="I265" s="7">
        <v>2540.3895575499891</v>
      </c>
      <c r="J265" s="7">
        <f t="shared" si="9"/>
        <v>1548.6104424500109</v>
      </c>
      <c r="K265" s="1">
        <f>IF(B265="North",28.6,
IF(B265="South",13,
IF(B265="East",22.6,
IF(B265="West",19,
23.5))))</f>
        <v>22.6</v>
      </c>
      <c r="L265" s="1">
        <f>IF(B265="North",77.2,
IF(B265="South",80.2,
IF(B265="East",88.4,
IF(B265="West",72.8,
78.9))))</f>
        <v>88.4</v>
      </c>
    </row>
    <row r="266" spans="1:12" x14ac:dyDescent="0.25">
      <c r="A266" s="5">
        <v>45595</v>
      </c>
      <c r="B266" s="1" t="s">
        <v>12</v>
      </c>
      <c r="C266" s="1" t="s">
        <v>17</v>
      </c>
      <c r="D266" s="1" t="s">
        <v>30</v>
      </c>
      <c r="E266" s="10">
        <v>11</v>
      </c>
      <c r="F266" s="10">
        <v>479</v>
      </c>
      <c r="G266" s="1" t="s">
        <v>33</v>
      </c>
      <c r="H266" s="10">
        <f t="shared" si="8"/>
        <v>5269</v>
      </c>
      <c r="I266" s="7">
        <v>3951.604507149063</v>
      </c>
      <c r="J266" s="7">
        <f t="shared" si="9"/>
        <v>1317.395492850937</v>
      </c>
      <c r="K266" s="1">
        <f>IF(B266="North",28.6,
IF(B266="South",13,
IF(B266="East",22.6,
IF(B266="West",19,
23.5))))</f>
        <v>22.6</v>
      </c>
      <c r="L266" s="1">
        <f>IF(B266="North",77.2,
IF(B266="South",80.2,
IF(B266="East",88.4,
IF(B266="West",72.8,
78.9))))</f>
        <v>88.4</v>
      </c>
    </row>
    <row r="267" spans="1:12" x14ac:dyDescent="0.25">
      <c r="A267" s="5">
        <v>45545</v>
      </c>
      <c r="B267" s="1" t="s">
        <v>36</v>
      </c>
      <c r="C267" s="1" t="s">
        <v>17</v>
      </c>
      <c r="D267" s="1" t="s">
        <v>31</v>
      </c>
      <c r="E267" s="10">
        <v>6</v>
      </c>
      <c r="F267" s="10">
        <v>971</v>
      </c>
      <c r="G267" s="1" t="s">
        <v>33</v>
      </c>
      <c r="H267" s="10">
        <f t="shared" si="8"/>
        <v>5826</v>
      </c>
      <c r="I267" s="7">
        <v>5023.0438068306948</v>
      </c>
      <c r="J267" s="7">
        <f t="shared" si="9"/>
        <v>802.95619316930515</v>
      </c>
      <c r="K267" s="1">
        <f>IF(B267="North",28.6,
IF(B267="South",13,
IF(B267="East",22.6,
IF(B267="West",19,
23.5))))</f>
        <v>23.5</v>
      </c>
      <c r="L267" s="1">
        <f>IF(B267="North",77.2,
IF(B267="South",80.2,
IF(B267="East",88.4,
IF(B267="West",72.8,
78.9))))</f>
        <v>78.900000000000006</v>
      </c>
    </row>
    <row r="268" spans="1:12" x14ac:dyDescent="0.25">
      <c r="A268" s="5">
        <v>45431</v>
      </c>
      <c r="B268" s="1" t="s">
        <v>13</v>
      </c>
      <c r="C268" s="1" t="s">
        <v>18</v>
      </c>
      <c r="D268" s="1" t="s">
        <v>26</v>
      </c>
      <c r="E268" s="10">
        <v>14</v>
      </c>
      <c r="F268" s="10">
        <v>934</v>
      </c>
      <c r="G268" s="1" t="s">
        <v>34</v>
      </c>
      <c r="H268" s="10">
        <f t="shared" si="8"/>
        <v>13076</v>
      </c>
      <c r="I268" s="7">
        <v>9127.7542235043711</v>
      </c>
      <c r="J268" s="7">
        <f t="shared" si="9"/>
        <v>3948.2457764956289</v>
      </c>
      <c r="K268" s="1">
        <f>IF(B268="North",28.6,
IF(B268="South",13,
IF(B268="East",22.6,
IF(B268="West",19,
23.5))))</f>
        <v>13</v>
      </c>
      <c r="L268" s="1">
        <f>IF(B268="North",77.2,
IF(B268="South",80.2,
IF(B268="East",88.4,
IF(B268="West",72.8,
78.9))))</f>
        <v>80.2</v>
      </c>
    </row>
    <row r="269" spans="1:12" x14ac:dyDescent="0.25">
      <c r="A269" s="5">
        <v>45328</v>
      </c>
      <c r="B269" s="1" t="s">
        <v>12</v>
      </c>
      <c r="C269" s="1" t="s">
        <v>18</v>
      </c>
      <c r="D269" s="1" t="s">
        <v>26</v>
      </c>
      <c r="E269" s="10">
        <v>19</v>
      </c>
      <c r="F269" s="10">
        <v>1594</v>
      </c>
      <c r="G269" s="1" t="s">
        <v>34</v>
      </c>
      <c r="H269" s="10">
        <f t="shared" si="8"/>
        <v>30286</v>
      </c>
      <c r="I269" s="7">
        <v>19337.14556732024</v>
      </c>
      <c r="J269" s="7">
        <f t="shared" si="9"/>
        <v>10948.85443267976</v>
      </c>
      <c r="K269" s="1">
        <f>IF(B269="North",28.6,
IF(B269="South",13,
IF(B269="East",22.6,
IF(B269="West",19,
23.5))))</f>
        <v>22.6</v>
      </c>
      <c r="L269" s="1">
        <f>IF(B269="North",77.2,
IF(B269="South",80.2,
IF(B269="East",88.4,
IF(B269="West",72.8,
78.9))))</f>
        <v>88.4</v>
      </c>
    </row>
    <row r="270" spans="1:12" x14ac:dyDescent="0.25">
      <c r="A270" s="5">
        <v>45451</v>
      </c>
      <c r="B270" s="1" t="s">
        <v>10</v>
      </c>
      <c r="C270" s="1" t="s">
        <v>17</v>
      </c>
      <c r="D270" s="1" t="s">
        <v>25</v>
      </c>
      <c r="E270" s="10">
        <v>16</v>
      </c>
      <c r="F270" s="10">
        <v>874</v>
      </c>
      <c r="G270" s="1" t="s">
        <v>33</v>
      </c>
      <c r="H270" s="10">
        <f t="shared" si="8"/>
        <v>13984</v>
      </c>
      <c r="I270" s="7">
        <v>8677.5457286783621</v>
      </c>
      <c r="J270" s="7">
        <f t="shared" si="9"/>
        <v>5306.4542713216379</v>
      </c>
      <c r="K270" s="1">
        <f>IF(B270="North",28.6,
IF(B270="South",13,
IF(B270="East",22.6,
IF(B270="West",19,
23.5))))</f>
        <v>28.6</v>
      </c>
      <c r="L270" s="1">
        <f>IF(B270="North",77.2,
IF(B270="South",80.2,
IF(B270="East",88.4,
IF(B270="West",72.8,
78.9))))</f>
        <v>77.2</v>
      </c>
    </row>
    <row r="271" spans="1:12" x14ac:dyDescent="0.25">
      <c r="A271" s="5">
        <v>45300</v>
      </c>
      <c r="B271" s="1" t="s">
        <v>12</v>
      </c>
      <c r="C271" s="1" t="s">
        <v>20</v>
      </c>
      <c r="D271" s="1" t="s">
        <v>31</v>
      </c>
      <c r="E271" s="10">
        <v>7</v>
      </c>
      <c r="F271" s="10">
        <v>1018</v>
      </c>
      <c r="G271" s="1" t="s">
        <v>33</v>
      </c>
      <c r="H271" s="10">
        <f t="shared" si="8"/>
        <v>7126</v>
      </c>
      <c r="I271" s="7">
        <v>5232.2660826010688</v>
      </c>
      <c r="J271" s="7">
        <f t="shared" si="9"/>
        <v>1893.7339173989312</v>
      </c>
      <c r="K271" s="1">
        <f>IF(B271="North",28.6,
IF(B271="South",13,
IF(B271="East",22.6,
IF(B271="West",19,
23.5))))</f>
        <v>22.6</v>
      </c>
      <c r="L271" s="1">
        <f>IF(B271="North",77.2,
IF(B271="South",80.2,
IF(B271="East",88.4,
IF(B271="West",72.8,
78.9))))</f>
        <v>88.4</v>
      </c>
    </row>
    <row r="272" spans="1:12" x14ac:dyDescent="0.25">
      <c r="A272" s="5">
        <v>45524</v>
      </c>
      <c r="B272" s="1" t="s">
        <v>12</v>
      </c>
      <c r="C272" s="1" t="s">
        <v>18</v>
      </c>
      <c r="D272" s="1" t="s">
        <v>26</v>
      </c>
      <c r="E272" s="10">
        <v>8</v>
      </c>
      <c r="F272" s="10">
        <v>1073.5</v>
      </c>
      <c r="G272" s="1" t="s">
        <v>34</v>
      </c>
      <c r="H272" s="10">
        <f t="shared" si="8"/>
        <v>8588</v>
      </c>
      <c r="I272" s="7">
        <f>H272*0.7</f>
        <v>6011.5999999999995</v>
      </c>
      <c r="J272" s="7">
        <f t="shared" si="9"/>
        <v>2576.4000000000005</v>
      </c>
      <c r="K272" s="1">
        <f>IF(B272="North",28.6,
IF(B272="South",13,
IF(B272="East",22.6,
IF(B272="West",19,
23.5))))</f>
        <v>22.6</v>
      </c>
      <c r="L272" s="1">
        <f>IF(B272="North",77.2,
IF(B272="South",80.2,
IF(B272="East",88.4,
IF(B272="West",72.8,
78.9))))</f>
        <v>88.4</v>
      </c>
    </row>
    <row r="273" spans="1:12" x14ac:dyDescent="0.25">
      <c r="A273" s="5">
        <v>45390</v>
      </c>
      <c r="B273" s="1" t="s">
        <v>12</v>
      </c>
      <c r="C273" s="1" t="s">
        <v>22</v>
      </c>
      <c r="D273" s="1" t="s">
        <v>27</v>
      </c>
      <c r="E273" s="10">
        <v>19</v>
      </c>
      <c r="F273" s="10">
        <v>554</v>
      </c>
      <c r="G273" s="1" t="s">
        <v>35</v>
      </c>
      <c r="H273" s="10">
        <f t="shared" si="8"/>
        <v>10526</v>
      </c>
      <c r="I273" s="7">
        <v>7408.5273024133803</v>
      </c>
      <c r="J273" s="7">
        <f t="shared" si="9"/>
        <v>3117.4726975866197</v>
      </c>
      <c r="K273" s="1">
        <f>IF(B273="North",28.6,
IF(B273="South",13,
IF(B273="East",22.6,
IF(B273="West",19,
23.5))))</f>
        <v>22.6</v>
      </c>
      <c r="L273" s="1">
        <f>IF(B273="North",77.2,
IF(B273="South",80.2,
IF(B273="East",88.4,
IF(B273="West",72.8,
78.9))))</f>
        <v>88.4</v>
      </c>
    </row>
    <row r="274" spans="1:12" x14ac:dyDescent="0.25">
      <c r="A274" s="5">
        <v>45438</v>
      </c>
      <c r="B274" s="1" t="s">
        <v>11</v>
      </c>
      <c r="C274" s="1" t="s">
        <v>23</v>
      </c>
      <c r="D274" s="1" t="s">
        <v>32</v>
      </c>
      <c r="E274" s="10">
        <v>16</v>
      </c>
      <c r="F274" s="10">
        <v>465</v>
      </c>
      <c r="G274" s="1" t="s">
        <v>34</v>
      </c>
      <c r="H274" s="10">
        <f t="shared" si="8"/>
        <v>7440</v>
      </c>
      <c r="I274" s="7">
        <v>6294.1949316399996</v>
      </c>
      <c r="J274" s="7">
        <f t="shared" si="9"/>
        <v>1145.8050683600004</v>
      </c>
      <c r="K274" s="1">
        <f>IF(B274="North",28.6,
IF(B274="South",13,
IF(B274="East",22.6,
IF(B274="West",19,
23.5))))</f>
        <v>19</v>
      </c>
      <c r="L274" s="1">
        <f>IF(B274="North",77.2,
IF(B274="South",80.2,
IF(B274="East",88.4,
IF(B274="West",72.8,
78.9))))</f>
        <v>72.8</v>
      </c>
    </row>
    <row r="275" spans="1:12" x14ac:dyDescent="0.25">
      <c r="A275" s="5">
        <v>45595</v>
      </c>
      <c r="B275" s="1" t="s">
        <v>10</v>
      </c>
      <c r="C275" s="1" t="s">
        <v>22</v>
      </c>
      <c r="D275" s="1" t="s">
        <v>31</v>
      </c>
      <c r="E275" s="10">
        <v>7</v>
      </c>
      <c r="F275" s="10">
        <v>1413</v>
      </c>
      <c r="G275" s="1" t="s">
        <v>35</v>
      </c>
      <c r="H275" s="10">
        <f t="shared" si="8"/>
        <v>9891</v>
      </c>
      <c r="I275" s="7">
        <v>7074.1837988564021</v>
      </c>
      <c r="J275" s="7">
        <f t="shared" si="9"/>
        <v>2816.8162011435979</v>
      </c>
      <c r="K275" s="1">
        <f>IF(B275="North",28.6,
IF(B275="South",13,
IF(B275="East",22.6,
IF(B275="West",19,
23.5))))</f>
        <v>28.6</v>
      </c>
      <c r="L275" s="1">
        <f>IF(B275="North",77.2,
IF(B275="South",80.2,
IF(B275="East",88.4,
IF(B275="West",72.8,
78.9))))</f>
        <v>77.2</v>
      </c>
    </row>
    <row r="276" spans="1:12" x14ac:dyDescent="0.25">
      <c r="A276" s="5">
        <v>45499</v>
      </c>
      <c r="B276" s="1" t="s">
        <v>13</v>
      </c>
      <c r="C276" s="1" t="s">
        <v>20</v>
      </c>
      <c r="D276" s="1" t="s">
        <v>29</v>
      </c>
      <c r="E276" s="10">
        <v>9</v>
      </c>
      <c r="F276" s="10">
        <v>1997</v>
      </c>
      <c r="G276" s="1" t="s">
        <v>33</v>
      </c>
      <c r="H276" s="10">
        <f t="shared" si="8"/>
        <v>17973</v>
      </c>
      <c r="I276" s="7">
        <v>14072.16300414645</v>
      </c>
      <c r="J276" s="7">
        <f t="shared" si="9"/>
        <v>3900.8369958535495</v>
      </c>
      <c r="K276" s="1">
        <f>IF(B276="North",28.6,
IF(B276="South",13,
IF(B276="East",22.6,
IF(B276="West",19,
23.5))))</f>
        <v>13</v>
      </c>
      <c r="L276" s="1">
        <f>IF(B276="North",77.2,
IF(B276="South",80.2,
IF(B276="East",88.4,
IF(B276="West",72.8,
78.9))))</f>
        <v>80.2</v>
      </c>
    </row>
    <row r="277" spans="1:12" x14ac:dyDescent="0.25">
      <c r="A277" s="5">
        <v>45422</v>
      </c>
      <c r="B277" s="1" t="s">
        <v>10</v>
      </c>
      <c r="C277" s="1" t="s">
        <v>24</v>
      </c>
      <c r="D277" s="1" t="s">
        <v>27</v>
      </c>
      <c r="E277" s="10">
        <v>13</v>
      </c>
      <c r="F277" s="10">
        <v>502</v>
      </c>
      <c r="G277" s="1" t="s">
        <v>35</v>
      </c>
      <c r="H277" s="10">
        <f t="shared" si="8"/>
        <v>6526</v>
      </c>
      <c r="I277" s="7">
        <v>4898.7289572899072</v>
      </c>
      <c r="J277" s="7">
        <f t="shared" si="9"/>
        <v>1627.2710427100928</v>
      </c>
      <c r="K277" s="1">
        <f>IF(B277="North",28.6,
IF(B277="South",13,
IF(B277="East",22.6,
IF(B277="West",19,
23.5))))</f>
        <v>28.6</v>
      </c>
      <c r="L277" s="1">
        <f>IF(B277="North",77.2,
IF(B277="South",80.2,
IF(B277="East",88.4,
IF(B277="West",72.8,
78.9))))</f>
        <v>77.2</v>
      </c>
    </row>
    <row r="278" spans="1:12" x14ac:dyDescent="0.25">
      <c r="A278" s="5">
        <v>45443</v>
      </c>
      <c r="B278" s="1" t="s">
        <v>13</v>
      </c>
      <c r="C278" s="1" t="s">
        <v>24</v>
      </c>
      <c r="D278" s="1" t="s">
        <v>25</v>
      </c>
      <c r="E278" s="10">
        <v>1</v>
      </c>
      <c r="F278" s="10">
        <v>157</v>
      </c>
      <c r="G278" s="1" t="s">
        <v>35</v>
      </c>
      <c r="H278" s="10">
        <f t="shared" si="8"/>
        <v>157</v>
      </c>
      <c r="I278" s="7">
        <v>128.04291809888869</v>
      </c>
      <c r="J278" s="7">
        <f t="shared" si="9"/>
        <v>28.957081901111309</v>
      </c>
      <c r="K278" s="1">
        <f>IF(B278="North",28.6,
IF(B278="South",13,
IF(B278="East",22.6,
IF(B278="West",19,
23.5))))</f>
        <v>13</v>
      </c>
      <c r="L278" s="1">
        <f>IF(B278="North",77.2,
IF(B278="South",80.2,
IF(B278="East",88.4,
IF(B278="West",72.8,
78.9))))</f>
        <v>80.2</v>
      </c>
    </row>
    <row r="279" spans="1:12" x14ac:dyDescent="0.25">
      <c r="A279" s="5">
        <v>45345</v>
      </c>
      <c r="B279" s="1" t="s">
        <v>11</v>
      </c>
      <c r="C279" s="1" t="s">
        <v>23</v>
      </c>
      <c r="D279" s="1" t="s">
        <v>32</v>
      </c>
      <c r="E279" s="10">
        <v>8</v>
      </c>
      <c r="F279" s="10">
        <v>620</v>
      </c>
      <c r="G279" s="1" t="s">
        <v>34</v>
      </c>
      <c r="H279" s="10">
        <f t="shared" si="8"/>
        <v>4960</v>
      </c>
      <c r="I279" s="7">
        <v>3208.3734589735018</v>
      </c>
      <c r="J279" s="7">
        <f t="shared" si="9"/>
        <v>1751.6265410264982</v>
      </c>
      <c r="K279" s="1">
        <f>IF(B279="North",28.6,
IF(B279="South",13,
IF(B279="East",22.6,
IF(B279="West",19,
23.5))))</f>
        <v>19</v>
      </c>
      <c r="L279" s="1">
        <f>IF(B279="North",77.2,
IF(B279="South",80.2,
IF(B279="East",88.4,
IF(B279="West",72.8,
78.9))))</f>
        <v>72.8</v>
      </c>
    </row>
    <row r="280" spans="1:12" x14ac:dyDescent="0.25">
      <c r="A280" s="5">
        <v>45411</v>
      </c>
      <c r="B280" s="1" t="s">
        <v>11</v>
      </c>
      <c r="C280" s="1" t="s">
        <v>18</v>
      </c>
      <c r="D280" s="1" t="s">
        <v>29</v>
      </c>
      <c r="E280" s="10">
        <v>4</v>
      </c>
      <c r="F280" s="10">
        <v>1073.5</v>
      </c>
      <c r="G280" s="1" t="s">
        <v>34</v>
      </c>
      <c r="H280" s="10">
        <f t="shared" si="8"/>
        <v>4294</v>
      </c>
      <c r="I280" s="7">
        <f>H280*0.7</f>
        <v>3005.7999999999997</v>
      </c>
      <c r="J280" s="7">
        <f t="shared" si="9"/>
        <v>1288.2000000000003</v>
      </c>
      <c r="K280" s="1">
        <f>IF(B280="North",28.6,
IF(B280="South",13,
IF(B280="East",22.6,
IF(B280="West",19,
23.5))))</f>
        <v>19</v>
      </c>
      <c r="L280" s="1">
        <f>IF(B280="North",77.2,
IF(B280="South",80.2,
IF(B280="East",88.4,
IF(B280="West",72.8,
78.9))))</f>
        <v>72.8</v>
      </c>
    </row>
    <row r="281" spans="1:12" x14ac:dyDescent="0.25">
      <c r="A281" s="5">
        <v>45452</v>
      </c>
      <c r="B281" s="1" t="s">
        <v>11</v>
      </c>
      <c r="C281" s="1" t="s">
        <v>23</v>
      </c>
      <c r="D281" s="1" t="s">
        <v>25</v>
      </c>
      <c r="E281" s="10">
        <v>3</v>
      </c>
      <c r="F281" s="10">
        <v>1238</v>
      </c>
      <c r="G281" s="1" t="s">
        <v>34</v>
      </c>
      <c r="H281" s="10">
        <f t="shared" si="8"/>
        <v>3714</v>
      </c>
      <c r="I281" s="7">
        <v>2945.535663030249</v>
      </c>
      <c r="J281" s="7">
        <f t="shared" si="9"/>
        <v>768.464336969751</v>
      </c>
      <c r="K281" s="1">
        <f>IF(B281="North",28.6,
IF(B281="South",13,
IF(B281="East",22.6,
IF(B281="West",19,
23.5))))</f>
        <v>19</v>
      </c>
      <c r="L281" s="1">
        <f>IF(B281="North",77.2,
IF(B281="South",80.2,
IF(B281="East",88.4,
IF(B281="West",72.8,
78.9))))</f>
        <v>72.8</v>
      </c>
    </row>
    <row r="282" spans="1:12" x14ac:dyDescent="0.25">
      <c r="A282" s="5">
        <v>45407</v>
      </c>
      <c r="B282" s="1" t="s">
        <v>11</v>
      </c>
      <c r="C282" s="1" t="s">
        <v>22</v>
      </c>
      <c r="D282" s="1" t="s">
        <v>29</v>
      </c>
      <c r="E282" s="10">
        <v>3</v>
      </c>
      <c r="F282" s="10">
        <v>309</v>
      </c>
      <c r="G282" s="1" t="s">
        <v>35</v>
      </c>
      <c r="H282" s="10">
        <f t="shared" si="8"/>
        <v>927</v>
      </c>
      <c r="I282" s="7">
        <v>631.55223275242781</v>
      </c>
      <c r="J282" s="7">
        <f t="shared" si="9"/>
        <v>295.44776724757219</v>
      </c>
      <c r="K282" s="1">
        <f>IF(B282="North",28.6,
IF(B282="South",13,
IF(B282="East",22.6,
IF(B282="West",19,
23.5))))</f>
        <v>19</v>
      </c>
      <c r="L282" s="1">
        <f>IF(B282="North",77.2,
IF(B282="South",80.2,
IF(B282="East",88.4,
IF(B282="West",72.8,
78.9))))</f>
        <v>72.8</v>
      </c>
    </row>
    <row r="283" spans="1:12" x14ac:dyDescent="0.25">
      <c r="A283" s="5">
        <v>45366</v>
      </c>
      <c r="B283" s="1" t="s">
        <v>13</v>
      </c>
      <c r="C283" s="1" t="s">
        <v>19</v>
      </c>
      <c r="D283" s="1" t="s">
        <v>25</v>
      </c>
      <c r="E283" s="10">
        <v>13</v>
      </c>
      <c r="F283" s="10">
        <v>1164</v>
      </c>
      <c r="G283" s="1" t="s">
        <v>35</v>
      </c>
      <c r="H283" s="10">
        <f t="shared" si="8"/>
        <v>15132</v>
      </c>
      <c r="I283" s="7">
        <v>9638.7225334635332</v>
      </c>
      <c r="J283" s="7">
        <f t="shared" si="9"/>
        <v>5493.2774665364668</v>
      </c>
      <c r="K283" s="1">
        <f>IF(B283="North",28.6,
IF(B283="South",13,
IF(B283="East",22.6,
IF(B283="West",19,
23.5))))</f>
        <v>13</v>
      </c>
      <c r="L283" s="1">
        <f>IF(B283="North",77.2,
IF(B283="South",80.2,
IF(B283="East",88.4,
IF(B283="West",72.8,
78.9))))</f>
        <v>80.2</v>
      </c>
    </row>
    <row r="284" spans="1:12" x14ac:dyDescent="0.25">
      <c r="A284" s="5">
        <v>45404</v>
      </c>
      <c r="B284" s="1" t="s">
        <v>12</v>
      </c>
      <c r="C284" s="1" t="s">
        <v>21</v>
      </c>
      <c r="D284" s="1" t="s">
        <v>29</v>
      </c>
      <c r="E284" s="10">
        <v>8</v>
      </c>
      <c r="F284" s="10">
        <v>915</v>
      </c>
      <c r="G284" s="1" t="s">
        <v>35</v>
      </c>
      <c r="H284" s="10">
        <f t="shared" si="8"/>
        <v>7320</v>
      </c>
      <c r="I284" s="7">
        <v>4720.7973388650335</v>
      </c>
      <c r="J284" s="7">
        <f t="shared" si="9"/>
        <v>2599.2026611349665</v>
      </c>
      <c r="K284" s="1">
        <f>IF(B284="North",28.6,
IF(B284="South",13,
IF(B284="East",22.6,
IF(B284="West",19,
23.5))))</f>
        <v>22.6</v>
      </c>
      <c r="L284" s="1">
        <f>IF(B284="North",77.2,
IF(B284="South",80.2,
IF(B284="East",88.4,
IF(B284="West",72.8,
78.9))))</f>
        <v>88.4</v>
      </c>
    </row>
    <row r="285" spans="1:12" x14ac:dyDescent="0.25">
      <c r="A285" s="5">
        <v>45395</v>
      </c>
      <c r="B285" s="1" t="s">
        <v>13</v>
      </c>
      <c r="C285" s="1" t="s">
        <v>21</v>
      </c>
      <c r="D285" s="1" t="s">
        <v>32</v>
      </c>
      <c r="E285" s="10">
        <v>7</v>
      </c>
      <c r="F285" s="10">
        <v>272</v>
      </c>
      <c r="G285" s="1" t="s">
        <v>35</v>
      </c>
      <c r="H285" s="10">
        <f t="shared" si="8"/>
        <v>1904</v>
      </c>
      <c r="I285" s="7">
        <v>1589.4570638430571</v>
      </c>
      <c r="J285" s="7">
        <f t="shared" si="9"/>
        <v>314.54293615694291</v>
      </c>
      <c r="K285" s="1">
        <f>IF(B285="North",28.6,
IF(B285="South",13,
IF(B285="East",22.6,
IF(B285="West",19,
23.5))))</f>
        <v>13</v>
      </c>
      <c r="L285" s="1">
        <f>IF(B285="North",77.2,
IF(B285="South",80.2,
IF(B285="East",88.4,
IF(B285="West",72.8,
78.9))))</f>
        <v>80.2</v>
      </c>
    </row>
    <row r="286" spans="1:12" x14ac:dyDescent="0.25">
      <c r="A286" s="5">
        <v>45631</v>
      </c>
      <c r="B286" s="1" t="s">
        <v>10</v>
      </c>
      <c r="C286" s="1" t="s">
        <v>18</v>
      </c>
      <c r="D286" s="1" t="s">
        <v>27</v>
      </c>
      <c r="E286" s="10">
        <v>1</v>
      </c>
      <c r="F286" s="10">
        <v>333</v>
      </c>
      <c r="G286" s="1" t="s">
        <v>34</v>
      </c>
      <c r="H286" s="10">
        <f t="shared" si="8"/>
        <v>333</v>
      </c>
      <c r="I286" s="7">
        <v>258.55219432596448</v>
      </c>
      <c r="J286" s="7">
        <f t="shared" si="9"/>
        <v>74.447805674035521</v>
      </c>
      <c r="K286" s="1">
        <f>IF(B286="North",28.6,
IF(B286="South",13,
IF(B286="East",22.6,
IF(B286="West",19,
23.5))))</f>
        <v>28.6</v>
      </c>
      <c r="L286" s="1">
        <f>IF(B286="North",77.2,
IF(B286="South",80.2,
IF(B286="East",88.4,
IF(B286="West",72.8,
78.9))))</f>
        <v>77.2</v>
      </c>
    </row>
    <row r="287" spans="1:12" x14ac:dyDescent="0.25">
      <c r="A287" s="5">
        <v>45545</v>
      </c>
      <c r="B287" s="1" t="s">
        <v>11</v>
      </c>
      <c r="C287" s="1" t="s">
        <v>20</v>
      </c>
      <c r="D287" s="1" t="s">
        <v>29</v>
      </c>
      <c r="E287" s="10">
        <v>16</v>
      </c>
      <c r="F287" s="10">
        <v>1073.5</v>
      </c>
      <c r="G287" s="1" t="s">
        <v>33</v>
      </c>
      <c r="H287" s="10">
        <f t="shared" si="8"/>
        <v>17176</v>
      </c>
      <c r="I287" s="7">
        <f>H287*0.7</f>
        <v>12023.199999999999</v>
      </c>
      <c r="J287" s="7">
        <f t="shared" si="9"/>
        <v>5152.8000000000011</v>
      </c>
      <c r="K287" s="1">
        <f>IF(B287="North",28.6,
IF(B287="South",13,
IF(B287="East",22.6,
IF(B287="West",19,
23.5))))</f>
        <v>19</v>
      </c>
      <c r="L287" s="1">
        <f>IF(B287="North",77.2,
IF(B287="South",80.2,
IF(B287="East",88.4,
IF(B287="West",72.8,
78.9))))</f>
        <v>72.8</v>
      </c>
    </row>
    <row r="288" spans="1:12" x14ac:dyDescent="0.25">
      <c r="A288" s="5">
        <v>45518</v>
      </c>
      <c r="B288" s="1" t="s">
        <v>11</v>
      </c>
      <c r="C288" s="1" t="s">
        <v>21</v>
      </c>
      <c r="D288" s="1" t="s">
        <v>29</v>
      </c>
      <c r="E288" s="10">
        <v>6</v>
      </c>
      <c r="F288" s="10">
        <v>1713</v>
      </c>
      <c r="G288" s="1" t="s">
        <v>35</v>
      </c>
      <c r="H288" s="10">
        <f t="shared" si="8"/>
        <v>10278</v>
      </c>
      <c r="I288" s="7">
        <v>7193.2664691326254</v>
      </c>
      <c r="J288" s="7">
        <f t="shared" si="9"/>
        <v>3084.7335308673746</v>
      </c>
      <c r="K288" s="1">
        <f>IF(B288="North",28.6,
IF(B288="South",13,
IF(B288="East",22.6,
IF(B288="West",19,
23.5))))</f>
        <v>19</v>
      </c>
      <c r="L288" s="1">
        <f>IF(B288="North",77.2,
IF(B288="South",80.2,
IF(B288="East",88.4,
IF(B288="West",72.8,
78.9))))</f>
        <v>72.8</v>
      </c>
    </row>
    <row r="289" spans="1:12" x14ac:dyDescent="0.25">
      <c r="A289" s="5">
        <v>45403</v>
      </c>
      <c r="B289" s="1" t="s">
        <v>10</v>
      </c>
      <c r="C289" s="1" t="s">
        <v>23</v>
      </c>
      <c r="D289" s="1" t="s">
        <v>28</v>
      </c>
      <c r="E289" s="10">
        <v>7</v>
      </c>
      <c r="F289" s="10">
        <v>1743</v>
      </c>
      <c r="G289" s="1" t="s">
        <v>34</v>
      </c>
      <c r="H289" s="10">
        <f t="shared" si="8"/>
        <v>12201</v>
      </c>
      <c r="I289" s="7">
        <v>10452.931023507261</v>
      </c>
      <c r="J289" s="7">
        <f t="shared" si="9"/>
        <v>1748.0689764927392</v>
      </c>
      <c r="K289" s="1">
        <f>IF(B289="North",28.6,
IF(B289="South",13,
IF(B289="East",22.6,
IF(B289="West",19,
23.5))))</f>
        <v>28.6</v>
      </c>
      <c r="L289" s="1">
        <f>IF(B289="North",77.2,
IF(B289="South",80.2,
IF(B289="East",88.4,
IF(B289="West",72.8,
78.9))))</f>
        <v>77.2</v>
      </c>
    </row>
    <row r="290" spans="1:12" x14ac:dyDescent="0.25">
      <c r="A290" s="5">
        <v>45390</v>
      </c>
      <c r="B290" s="1" t="s">
        <v>13</v>
      </c>
      <c r="C290" s="1" t="s">
        <v>21</v>
      </c>
      <c r="D290" s="1" t="s">
        <v>31</v>
      </c>
      <c r="E290" s="10">
        <v>12</v>
      </c>
      <c r="F290" s="10">
        <v>892</v>
      </c>
      <c r="G290" s="1" t="s">
        <v>35</v>
      </c>
      <c r="H290" s="10">
        <f t="shared" si="8"/>
        <v>10704</v>
      </c>
      <c r="I290" s="7">
        <v>9231.4374163670273</v>
      </c>
      <c r="J290" s="7">
        <f t="shared" si="9"/>
        <v>1472.5625836329727</v>
      </c>
      <c r="K290" s="1">
        <f>IF(B290="North",28.6,
IF(B290="South",13,
IF(B290="East",22.6,
IF(B290="West",19,
23.5))))</f>
        <v>13</v>
      </c>
      <c r="L290" s="1">
        <f>IF(B290="North",77.2,
IF(B290="South",80.2,
IF(B290="East",88.4,
IF(B290="West",72.8,
78.9))))</f>
        <v>80.2</v>
      </c>
    </row>
    <row r="291" spans="1:12" x14ac:dyDescent="0.25">
      <c r="A291" s="5">
        <v>45444</v>
      </c>
      <c r="B291" s="1" t="s">
        <v>12</v>
      </c>
      <c r="C291" s="1" t="s">
        <v>24</v>
      </c>
      <c r="D291" s="1" t="s">
        <v>32</v>
      </c>
      <c r="E291" s="10">
        <v>9</v>
      </c>
      <c r="F291" s="10">
        <v>1526</v>
      </c>
      <c r="G291" s="1" t="s">
        <v>35</v>
      </c>
      <c r="H291" s="10">
        <f t="shared" si="8"/>
        <v>13734</v>
      </c>
      <c r="I291" s="7">
        <v>10635.31585069517</v>
      </c>
      <c r="J291" s="7">
        <f t="shared" si="9"/>
        <v>3098.6841493048305</v>
      </c>
      <c r="K291" s="1">
        <f>IF(B291="North",28.6,
IF(B291="South",13,
IF(B291="East",22.6,
IF(B291="West",19,
23.5))))</f>
        <v>22.6</v>
      </c>
      <c r="L291" s="1">
        <f>IF(B291="North",77.2,
IF(B291="South",80.2,
IF(B291="East",88.4,
IF(B291="West",72.8,
78.9))))</f>
        <v>88.4</v>
      </c>
    </row>
    <row r="292" spans="1:12" x14ac:dyDescent="0.25">
      <c r="A292" s="5">
        <v>45640</v>
      </c>
      <c r="B292" s="1" t="s">
        <v>12</v>
      </c>
      <c r="C292" s="1" t="s">
        <v>24</v>
      </c>
      <c r="D292" s="1" t="s">
        <v>25</v>
      </c>
      <c r="E292" s="10">
        <v>11</v>
      </c>
      <c r="F292" s="10">
        <v>1162</v>
      </c>
      <c r="G292" s="1" t="s">
        <v>35</v>
      </c>
      <c r="H292" s="10">
        <f t="shared" si="8"/>
        <v>12782</v>
      </c>
      <c r="I292" s="7">
        <v>9680.6166741991492</v>
      </c>
      <c r="J292" s="7">
        <f t="shared" si="9"/>
        <v>3101.3833258008508</v>
      </c>
      <c r="K292" s="1">
        <f>IF(B292="North",28.6,
IF(B292="South",13,
IF(B292="East",22.6,
IF(B292="West",19,
23.5))))</f>
        <v>22.6</v>
      </c>
      <c r="L292" s="1">
        <f>IF(B292="North",77.2,
IF(B292="South",80.2,
IF(B292="East",88.4,
IF(B292="West",72.8,
78.9))))</f>
        <v>88.4</v>
      </c>
    </row>
    <row r="293" spans="1:12" x14ac:dyDescent="0.25">
      <c r="A293" s="5">
        <v>45657</v>
      </c>
      <c r="B293" s="1" t="s">
        <v>10</v>
      </c>
      <c r="C293" s="1" t="s">
        <v>18</v>
      </c>
      <c r="D293" s="1" t="s">
        <v>32</v>
      </c>
      <c r="E293" s="10">
        <v>10</v>
      </c>
      <c r="F293" s="10">
        <v>218</v>
      </c>
      <c r="G293" s="1" t="s">
        <v>34</v>
      </c>
      <c r="H293" s="10">
        <f t="shared" si="8"/>
        <v>2180</v>
      </c>
      <c r="I293" s="7">
        <v>1841.9570195180779</v>
      </c>
      <c r="J293" s="7">
        <f t="shared" si="9"/>
        <v>338.04298048192209</v>
      </c>
      <c r="K293" s="1">
        <f>IF(B293="North",28.6,
IF(B293="South",13,
IF(B293="East",22.6,
IF(B293="West",19,
23.5))))</f>
        <v>28.6</v>
      </c>
      <c r="L293" s="1">
        <f>IF(B293="North",77.2,
IF(B293="South",80.2,
IF(B293="East",88.4,
IF(B293="West",72.8,
78.9))))</f>
        <v>77.2</v>
      </c>
    </row>
    <row r="294" spans="1:12" x14ac:dyDescent="0.25">
      <c r="A294" s="5">
        <v>45629</v>
      </c>
      <c r="B294" s="1" t="s">
        <v>12</v>
      </c>
      <c r="C294" s="1" t="s">
        <v>24</v>
      </c>
      <c r="D294" s="1" t="s">
        <v>26</v>
      </c>
      <c r="E294" s="10">
        <v>1</v>
      </c>
      <c r="F294" s="10">
        <v>434</v>
      </c>
      <c r="G294" s="1" t="s">
        <v>35</v>
      </c>
      <c r="H294" s="10">
        <f t="shared" si="8"/>
        <v>434</v>
      </c>
      <c r="I294" s="7">
        <v>357.96344040922759</v>
      </c>
      <c r="J294" s="7">
        <f t="shared" si="9"/>
        <v>76.036559590772413</v>
      </c>
      <c r="K294" s="1">
        <f>IF(B294="North",28.6,
IF(B294="South",13,
IF(B294="East",22.6,
IF(B294="West",19,
23.5))))</f>
        <v>22.6</v>
      </c>
      <c r="L294" s="1">
        <f>IF(B294="North",77.2,
IF(B294="South",80.2,
IF(B294="East",88.4,
IF(B294="West",72.8,
78.9))))</f>
        <v>88.4</v>
      </c>
    </row>
    <row r="295" spans="1:12" x14ac:dyDescent="0.25">
      <c r="A295" s="5">
        <v>45485</v>
      </c>
      <c r="B295" s="1" t="s">
        <v>13</v>
      </c>
      <c r="C295" s="1" t="s">
        <v>21</v>
      </c>
      <c r="D295" s="1" t="s">
        <v>25</v>
      </c>
      <c r="E295" s="10">
        <v>18</v>
      </c>
      <c r="F295" s="10">
        <v>1459</v>
      </c>
      <c r="G295" s="1" t="s">
        <v>35</v>
      </c>
      <c r="H295" s="10">
        <f t="shared" si="8"/>
        <v>26262</v>
      </c>
      <c r="I295" s="7">
        <v>18911.201989366309</v>
      </c>
      <c r="J295" s="7">
        <f t="shared" si="9"/>
        <v>7350.7980106336909</v>
      </c>
      <c r="K295" s="1">
        <f>IF(B295="North",28.6,
IF(B295="South",13,
IF(B295="East",22.6,
IF(B295="West",19,
23.5))))</f>
        <v>13</v>
      </c>
      <c r="L295" s="1">
        <f>IF(B295="North",77.2,
IF(B295="South",80.2,
IF(B295="East",88.4,
IF(B295="West",72.8,
78.9))))</f>
        <v>80.2</v>
      </c>
    </row>
    <row r="296" spans="1:12" x14ac:dyDescent="0.25">
      <c r="A296" s="5">
        <v>45601</v>
      </c>
      <c r="B296" s="1" t="s">
        <v>13</v>
      </c>
      <c r="C296" s="1" t="s">
        <v>20</v>
      </c>
      <c r="D296" s="1" t="s">
        <v>32</v>
      </c>
      <c r="E296" s="10">
        <v>4</v>
      </c>
      <c r="F296" s="10">
        <v>1662</v>
      </c>
      <c r="G296" s="1" t="s">
        <v>33</v>
      </c>
      <c r="H296" s="10">
        <f t="shared" si="8"/>
        <v>6648</v>
      </c>
      <c r="I296" s="7">
        <v>4153.8140328671088</v>
      </c>
      <c r="J296" s="7">
        <f t="shared" si="9"/>
        <v>2494.1859671328912</v>
      </c>
      <c r="K296" s="1">
        <f>IF(B296="North",28.6,
IF(B296="South",13,
IF(B296="East",22.6,
IF(B296="West",19,
23.5))))</f>
        <v>13</v>
      </c>
      <c r="L296" s="1">
        <f>IF(B296="North",77.2,
IF(B296="South",80.2,
IF(B296="East",88.4,
IF(B296="West",72.8,
78.9))))</f>
        <v>80.2</v>
      </c>
    </row>
    <row r="297" spans="1:12" x14ac:dyDescent="0.25">
      <c r="A297" s="5">
        <v>45454</v>
      </c>
      <c r="B297" s="1" t="s">
        <v>10</v>
      </c>
      <c r="C297" s="1" t="s">
        <v>17</v>
      </c>
      <c r="D297" s="1" t="s">
        <v>27</v>
      </c>
      <c r="E297" s="10">
        <v>5</v>
      </c>
      <c r="F297" s="10">
        <v>1073.5</v>
      </c>
      <c r="G297" s="1" t="s">
        <v>33</v>
      </c>
      <c r="H297" s="10">
        <f t="shared" si="8"/>
        <v>5367.5</v>
      </c>
      <c r="I297" s="7">
        <f>H297*0.7</f>
        <v>3757.2499999999995</v>
      </c>
      <c r="J297" s="7">
        <f t="shared" si="9"/>
        <v>1610.2500000000005</v>
      </c>
      <c r="K297" s="1">
        <f>IF(B297="North",28.6,
IF(B297="South",13,
IF(B297="East",22.6,
IF(B297="West",19,
23.5))))</f>
        <v>28.6</v>
      </c>
      <c r="L297" s="1">
        <f>IF(B297="North",77.2,
IF(B297="South",80.2,
IF(B297="East",88.4,
IF(B297="West",72.8,
78.9))))</f>
        <v>77.2</v>
      </c>
    </row>
    <row r="298" spans="1:12" x14ac:dyDescent="0.25">
      <c r="A298" s="5">
        <v>45499</v>
      </c>
      <c r="B298" s="1" t="s">
        <v>13</v>
      </c>
      <c r="C298" s="1" t="s">
        <v>17</v>
      </c>
      <c r="D298" s="1" t="s">
        <v>25</v>
      </c>
      <c r="E298" s="10">
        <v>9</v>
      </c>
      <c r="F298" s="10">
        <v>1197</v>
      </c>
      <c r="G298" s="1" t="s">
        <v>33</v>
      </c>
      <c r="H298" s="10">
        <f t="shared" si="8"/>
        <v>10773</v>
      </c>
      <c r="I298" s="7">
        <v>7009.0248554319742</v>
      </c>
      <c r="J298" s="7">
        <f t="shared" si="9"/>
        <v>3763.9751445680258</v>
      </c>
      <c r="K298" s="1">
        <f>IF(B298="North",28.6,
IF(B298="South",13,
IF(B298="East",22.6,
IF(B298="West",19,
23.5))))</f>
        <v>13</v>
      </c>
      <c r="L298" s="1">
        <f>IF(B298="North",77.2,
IF(B298="South",80.2,
IF(B298="East",88.4,
IF(B298="West",72.8,
78.9))))</f>
        <v>80.2</v>
      </c>
    </row>
    <row r="299" spans="1:12" x14ac:dyDescent="0.25">
      <c r="A299" s="5">
        <v>45460</v>
      </c>
      <c r="B299" s="1" t="s">
        <v>11</v>
      </c>
      <c r="C299" s="1" t="s">
        <v>18</v>
      </c>
      <c r="D299" s="1" t="s">
        <v>25</v>
      </c>
      <c r="E299" s="10">
        <v>17</v>
      </c>
      <c r="F299" s="10">
        <v>1314</v>
      </c>
      <c r="G299" s="1" t="s">
        <v>34</v>
      </c>
      <c r="H299" s="10">
        <f t="shared" si="8"/>
        <v>22338</v>
      </c>
      <c r="I299" s="7">
        <v>13512.548201074869</v>
      </c>
      <c r="J299" s="7">
        <f t="shared" si="9"/>
        <v>8825.4517989251308</v>
      </c>
      <c r="K299" s="1">
        <f>IF(B299="North",28.6,
IF(B299="South",13,
IF(B299="East",22.6,
IF(B299="West",19,
23.5))))</f>
        <v>19</v>
      </c>
      <c r="L299" s="1">
        <f>IF(B299="North",77.2,
IF(B299="South",80.2,
IF(B299="East",88.4,
IF(B299="West",72.8,
78.9))))</f>
        <v>72.8</v>
      </c>
    </row>
    <row r="300" spans="1:12" x14ac:dyDescent="0.25">
      <c r="A300" s="5">
        <v>45452</v>
      </c>
      <c r="B300" s="1" t="s">
        <v>10</v>
      </c>
      <c r="C300" s="1" t="s">
        <v>19</v>
      </c>
      <c r="D300" s="1" t="s">
        <v>32</v>
      </c>
      <c r="E300" s="10">
        <v>3</v>
      </c>
      <c r="F300" s="10">
        <v>423</v>
      </c>
      <c r="G300" s="1" t="s">
        <v>35</v>
      </c>
      <c r="H300" s="10">
        <f t="shared" si="8"/>
        <v>1269</v>
      </c>
      <c r="I300" s="7">
        <v>1082.445328450159</v>
      </c>
      <c r="J300" s="7">
        <f t="shared" si="9"/>
        <v>186.55467154984103</v>
      </c>
      <c r="K300" s="1">
        <f>IF(B300="North",28.6,
IF(B300="South",13,
IF(B300="East",22.6,
IF(B300="West",19,
23.5))))</f>
        <v>28.6</v>
      </c>
      <c r="L300" s="1">
        <f>IF(B300="North",77.2,
IF(B300="South",80.2,
IF(B300="East",88.4,
IF(B300="West",72.8,
78.9))))</f>
        <v>77.2</v>
      </c>
    </row>
    <row r="301" spans="1:12" x14ac:dyDescent="0.25">
      <c r="A301" s="5">
        <v>45359</v>
      </c>
      <c r="B301" s="1" t="s">
        <v>13</v>
      </c>
      <c r="C301" s="1" t="s">
        <v>17</v>
      </c>
      <c r="D301" s="1" t="s">
        <v>25</v>
      </c>
      <c r="E301" s="10">
        <v>16</v>
      </c>
      <c r="F301" s="10">
        <v>1110</v>
      </c>
      <c r="G301" s="1" t="s">
        <v>33</v>
      </c>
      <c r="H301" s="10">
        <f t="shared" si="8"/>
        <v>17760</v>
      </c>
      <c r="I301" s="7">
        <v>13736.936487954041</v>
      </c>
      <c r="J301" s="7">
        <f t="shared" si="9"/>
        <v>4023.0635120459592</v>
      </c>
      <c r="K301" s="1">
        <f>IF(B301="North",28.6,
IF(B301="South",13,
IF(B301="East",22.6,
IF(B301="West",19,
23.5))))</f>
        <v>13</v>
      </c>
      <c r="L301" s="1">
        <f>IF(B301="North",77.2,
IF(B301="South",80.2,
IF(B301="East",88.4,
IF(B301="West",72.8,
78.9))))</f>
        <v>80.2</v>
      </c>
    </row>
    <row r="302" spans="1:12" x14ac:dyDescent="0.25">
      <c r="A302" s="5">
        <v>45580</v>
      </c>
      <c r="B302" s="1" t="s">
        <v>10</v>
      </c>
      <c r="C302" s="1" t="s">
        <v>17</v>
      </c>
      <c r="D302" s="1" t="s">
        <v>28</v>
      </c>
      <c r="E302" s="10">
        <v>5</v>
      </c>
      <c r="F302" s="10">
        <v>1270</v>
      </c>
      <c r="G302" s="1" t="s">
        <v>33</v>
      </c>
      <c r="H302" s="10">
        <f t="shared" si="8"/>
        <v>6350</v>
      </c>
      <c r="I302" s="7">
        <v>5508.6237976956199</v>
      </c>
      <c r="J302" s="7">
        <f t="shared" si="9"/>
        <v>841.37620230438006</v>
      </c>
      <c r="K302" s="1">
        <f>IF(B302="North",28.6,
IF(B302="South",13,
IF(B302="East",22.6,
IF(B302="West",19,
23.5))))</f>
        <v>28.6</v>
      </c>
      <c r="L302" s="1">
        <f>IF(B302="North",77.2,
IF(B302="South",80.2,
IF(B302="East",88.4,
IF(B302="West",72.8,
78.9))))</f>
        <v>77.2</v>
      </c>
    </row>
    <row r="303" spans="1:12" x14ac:dyDescent="0.25">
      <c r="A303" s="5">
        <v>45568</v>
      </c>
      <c r="B303" s="1" t="s">
        <v>12</v>
      </c>
      <c r="C303" s="1" t="s">
        <v>24</v>
      </c>
      <c r="D303" s="1" t="s">
        <v>31</v>
      </c>
      <c r="E303" s="10">
        <v>16</v>
      </c>
      <c r="F303" s="10">
        <v>1890</v>
      </c>
      <c r="G303" s="1" t="s">
        <v>35</v>
      </c>
      <c r="H303" s="10">
        <f t="shared" si="8"/>
        <v>30240</v>
      </c>
      <c r="I303" s="7">
        <v>22540.183090768791</v>
      </c>
      <c r="J303" s="7">
        <f t="shared" si="9"/>
        <v>7699.8169092312091</v>
      </c>
      <c r="K303" s="1">
        <f>IF(B303="North",28.6,
IF(B303="South",13,
IF(B303="East",22.6,
IF(B303="West",19,
23.5))))</f>
        <v>22.6</v>
      </c>
      <c r="L303" s="1">
        <f>IF(B303="North",77.2,
IF(B303="South",80.2,
IF(B303="East",88.4,
IF(B303="West",72.8,
78.9))))</f>
        <v>88.4</v>
      </c>
    </row>
    <row r="304" spans="1:12" x14ac:dyDescent="0.25">
      <c r="A304" s="5">
        <v>45595</v>
      </c>
      <c r="B304" s="1" t="s">
        <v>13</v>
      </c>
      <c r="C304" s="1" t="s">
        <v>24</v>
      </c>
      <c r="D304" s="1" t="s">
        <v>25</v>
      </c>
      <c r="E304" s="10">
        <v>3</v>
      </c>
      <c r="F304" s="10">
        <v>383</v>
      </c>
      <c r="G304" s="1" t="s">
        <v>35</v>
      </c>
      <c r="H304" s="10">
        <f t="shared" si="8"/>
        <v>1149</v>
      </c>
      <c r="I304" s="7">
        <v>1008.758035415221</v>
      </c>
      <c r="J304" s="7">
        <f t="shared" si="9"/>
        <v>140.241964584779</v>
      </c>
      <c r="K304" s="1">
        <f>IF(B304="North",28.6,
IF(B304="South",13,
IF(B304="East",22.6,
IF(B304="West",19,
23.5))))</f>
        <v>13</v>
      </c>
      <c r="L304" s="1">
        <f>IF(B304="North",77.2,
IF(B304="South",80.2,
IF(B304="East",88.4,
IF(B304="West",72.8,
78.9))))</f>
        <v>80.2</v>
      </c>
    </row>
    <row r="305" spans="1:12" x14ac:dyDescent="0.25">
      <c r="A305" s="5">
        <v>45426</v>
      </c>
      <c r="B305" s="1" t="s">
        <v>11</v>
      </c>
      <c r="C305" s="1" t="s">
        <v>21</v>
      </c>
      <c r="D305" s="1" t="s">
        <v>31</v>
      </c>
      <c r="E305" s="10">
        <v>15</v>
      </c>
      <c r="F305" s="10">
        <v>312</v>
      </c>
      <c r="G305" s="1" t="s">
        <v>35</v>
      </c>
      <c r="H305" s="10">
        <f t="shared" si="8"/>
        <v>4680</v>
      </c>
      <c r="I305" s="7">
        <v>3304.9763341623252</v>
      </c>
      <c r="J305" s="7">
        <f t="shared" si="9"/>
        <v>1375.0236658376748</v>
      </c>
      <c r="K305" s="1">
        <f>IF(B305="North",28.6,
IF(B305="South",13,
IF(B305="East",22.6,
IF(B305="West",19,
23.5))))</f>
        <v>19</v>
      </c>
      <c r="L305" s="1">
        <f>IF(B305="North",77.2,
IF(B305="South",80.2,
IF(B305="East",88.4,
IF(B305="West",72.8,
78.9))))</f>
        <v>72.8</v>
      </c>
    </row>
    <row r="306" spans="1:12" x14ac:dyDescent="0.25">
      <c r="A306" s="5">
        <v>45486</v>
      </c>
      <c r="B306" s="1" t="s">
        <v>13</v>
      </c>
      <c r="C306" s="1" t="s">
        <v>18</v>
      </c>
      <c r="D306" s="1" t="s">
        <v>32</v>
      </c>
      <c r="E306" s="10">
        <v>3</v>
      </c>
      <c r="F306" s="10">
        <v>1758</v>
      </c>
      <c r="G306" s="1" t="s">
        <v>34</v>
      </c>
      <c r="H306" s="10">
        <f t="shared" si="8"/>
        <v>5274</v>
      </c>
      <c r="I306" s="7">
        <v>4310.7387120933181</v>
      </c>
      <c r="J306" s="7">
        <f t="shared" si="9"/>
        <v>963.2612879066819</v>
      </c>
      <c r="K306" s="1">
        <f>IF(B306="North",28.6,
IF(B306="South",13,
IF(B306="East",22.6,
IF(B306="West",19,
23.5))))</f>
        <v>13</v>
      </c>
      <c r="L306" s="1">
        <f>IF(B306="North",77.2,
IF(B306="South",80.2,
IF(B306="East",88.4,
IF(B306="West",72.8,
78.9))))</f>
        <v>80.2</v>
      </c>
    </row>
    <row r="307" spans="1:12" x14ac:dyDescent="0.25">
      <c r="A307" s="5">
        <v>45419</v>
      </c>
      <c r="B307" s="1" t="s">
        <v>10</v>
      </c>
      <c r="C307" s="1" t="s">
        <v>19</v>
      </c>
      <c r="D307" s="1" t="s">
        <v>29</v>
      </c>
      <c r="E307" s="10">
        <v>14</v>
      </c>
      <c r="F307" s="10">
        <v>1841</v>
      </c>
      <c r="G307" s="1" t="s">
        <v>35</v>
      </c>
      <c r="H307" s="10">
        <f t="shared" si="8"/>
        <v>25774</v>
      </c>
      <c r="I307" s="7">
        <v>17791.687886913958</v>
      </c>
      <c r="J307" s="7">
        <f t="shared" si="9"/>
        <v>7982.3121130860418</v>
      </c>
      <c r="K307" s="1">
        <f>IF(B307="North",28.6,
IF(B307="South",13,
IF(B307="East",22.6,
IF(B307="West",19,
23.5))))</f>
        <v>28.6</v>
      </c>
      <c r="L307" s="1">
        <f>IF(B307="North",77.2,
IF(B307="South",80.2,
IF(B307="East",88.4,
IF(B307="West",72.8,
78.9))))</f>
        <v>77.2</v>
      </c>
    </row>
    <row r="308" spans="1:12" x14ac:dyDescent="0.25">
      <c r="A308" s="5">
        <v>45324</v>
      </c>
      <c r="B308" s="1" t="s">
        <v>10</v>
      </c>
      <c r="C308" s="1" t="s">
        <v>18</v>
      </c>
      <c r="D308" s="1" t="s">
        <v>30</v>
      </c>
      <c r="E308" s="10">
        <v>16</v>
      </c>
      <c r="F308" s="10">
        <v>1028</v>
      </c>
      <c r="G308" s="1" t="s">
        <v>34</v>
      </c>
      <c r="H308" s="10">
        <f t="shared" si="8"/>
        <v>16448</v>
      </c>
      <c r="I308" s="7">
        <v>9874.5419852599771</v>
      </c>
      <c r="J308" s="7">
        <f t="shared" si="9"/>
        <v>6573.4580147400229</v>
      </c>
      <c r="K308" s="1">
        <f>IF(B308="North",28.6,
IF(B308="South",13,
IF(B308="East",22.6,
IF(B308="West",19,
23.5))))</f>
        <v>28.6</v>
      </c>
      <c r="L308" s="1">
        <f>IF(B308="North",77.2,
IF(B308="South",80.2,
IF(B308="East",88.4,
IF(B308="West",72.8,
78.9))))</f>
        <v>77.2</v>
      </c>
    </row>
    <row r="309" spans="1:12" x14ac:dyDescent="0.25">
      <c r="A309" s="5">
        <v>45467</v>
      </c>
      <c r="B309" s="1" t="s">
        <v>13</v>
      </c>
      <c r="C309" s="1" t="s">
        <v>22</v>
      </c>
      <c r="D309" s="1" t="s">
        <v>30</v>
      </c>
      <c r="E309" s="10">
        <v>17</v>
      </c>
      <c r="F309" s="10">
        <v>851</v>
      </c>
      <c r="G309" s="1" t="s">
        <v>35</v>
      </c>
      <c r="H309" s="10">
        <f t="shared" si="8"/>
        <v>14467</v>
      </c>
      <c r="I309" s="7">
        <v>10328.329254395931</v>
      </c>
      <c r="J309" s="7">
        <f t="shared" si="9"/>
        <v>4138.6707456040695</v>
      </c>
      <c r="K309" s="1">
        <f>IF(B309="North",28.6,
IF(B309="South",13,
IF(B309="East",22.6,
IF(B309="West",19,
23.5))))</f>
        <v>13</v>
      </c>
      <c r="L309" s="1">
        <f>IF(B309="North",77.2,
IF(B309="South",80.2,
IF(B309="East",88.4,
IF(B309="West",72.8,
78.9))))</f>
        <v>80.2</v>
      </c>
    </row>
    <row r="310" spans="1:12" x14ac:dyDescent="0.25">
      <c r="A310" s="5">
        <v>45313</v>
      </c>
      <c r="B310" s="1" t="s">
        <v>11</v>
      </c>
      <c r="C310" s="1" t="s">
        <v>23</v>
      </c>
      <c r="D310" s="1" t="s">
        <v>29</v>
      </c>
      <c r="E310" s="10">
        <v>18</v>
      </c>
      <c r="F310" s="10">
        <v>1517</v>
      </c>
      <c r="G310" s="1" t="s">
        <v>34</v>
      </c>
      <c r="H310" s="10">
        <f t="shared" si="8"/>
        <v>27306</v>
      </c>
      <c r="I310" s="7">
        <v>22427.227530288259</v>
      </c>
      <c r="J310" s="7">
        <f t="shared" si="9"/>
        <v>4878.772469711741</v>
      </c>
      <c r="K310" s="1">
        <f>IF(B310="North",28.6,
IF(B310="South",13,
IF(B310="East",22.6,
IF(B310="West",19,
23.5))))</f>
        <v>19</v>
      </c>
      <c r="L310" s="1">
        <f>IF(B310="North",77.2,
IF(B310="South",80.2,
IF(B310="East",88.4,
IF(B310="West",72.8,
78.9))))</f>
        <v>72.8</v>
      </c>
    </row>
    <row r="311" spans="1:12" x14ac:dyDescent="0.25">
      <c r="A311" s="5">
        <v>45529</v>
      </c>
      <c r="B311" s="1" t="s">
        <v>11</v>
      </c>
      <c r="C311" s="1" t="s">
        <v>19</v>
      </c>
      <c r="D311" s="1" t="s">
        <v>29</v>
      </c>
      <c r="E311" s="10">
        <v>18</v>
      </c>
      <c r="F311" s="10">
        <v>438</v>
      </c>
      <c r="G311" s="1" t="s">
        <v>35</v>
      </c>
      <c r="H311" s="10">
        <f t="shared" si="8"/>
        <v>7884</v>
      </c>
      <c r="I311" s="7">
        <v>5085.2371892268948</v>
      </c>
      <c r="J311" s="7">
        <f t="shared" si="9"/>
        <v>2798.7628107731052</v>
      </c>
      <c r="K311" s="1">
        <f>IF(B311="North",28.6,
IF(B311="South",13,
IF(B311="East",22.6,
IF(B311="West",19,
23.5))))</f>
        <v>19</v>
      </c>
      <c r="L311" s="1">
        <f>IF(B311="North",77.2,
IF(B311="South",80.2,
IF(B311="East",88.4,
IF(B311="West",72.8,
78.9))))</f>
        <v>72.8</v>
      </c>
    </row>
    <row r="312" spans="1:12" x14ac:dyDescent="0.25">
      <c r="A312" s="5">
        <v>45449</v>
      </c>
      <c r="B312" s="1" t="s">
        <v>11</v>
      </c>
      <c r="C312" s="1" t="s">
        <v>19</v>
      </c>
      <c r="D312" s="1" t="s">
        <v>29</v>
      </c>
      <c r="E312" s="10">
        <v>14</v>
      </c>
      <c r="F312" s="10">
        <v>1921</v>
      </c>
      <c r="G312" s="1" t="s">
        <v>35</v>
      </c>
      <c r="H312" s="10">
        <f t="shared" si="8"/>
        <v>26894</v>
      </c>
      <c r="I312" s="7">
        <v>20209.243764323892</v>
      </c>
      <c r="J312" s="7">
        <f t="shared" si="9"/>
        <v>6684.7562356761082</v>
      </c>
      <c r="K312" s="1">
        <f>IF(B312="North",28.6,
IF(B312="South",13,
IF(B312="East",22.6,
IF(B312="West",19,
23.5))))</f>
        <v>19</v>
      </c>
      <c r="L312" s="1">
        <f>IF(B312="North",77.2,
IF(B312="South",80.2,
IF(B312="East",88.4,
IF(B312="West",72.8,
78.9))))</f>
        <v>72.8</v>
      </c>
    </row>
    <row r="313" spans="1:12" x14ac:dyDescent="0.25">
      <c r="A313" s="5">
        <v>45329</v>
      </c>
      <c r="B313" s="1" t="s">
        <v>10</v>
      </c>
      <c r="C313" s="1" t="s">
        <v>20</v>
      </c>
      <c r="D313" s="1" t="s">
        <v>27</v>
      </c>
      <c r="E313" s="10">
        <v>18</v>
      </c>
      <c r="F313" s="10">
        <v>1145</v>
      </c>
      <c r="G313" s="1" t="s">
        <v>33</v>
      </c>
      <c r="H313" s="10">
        <f t="shared" si="8"/>
        <v>20610</v>
      </c>
      <c r="I313" s="7">
        <v>13678.78374083197</v>
      </c>
      <c r="J313" s="7">
        <f t="shared" si="9"/>
        <v>6931.2162591680299</v>
      </c>
      <c r="K313" s="1">
        <f>IF(B313="North",28.6,
IF(B313="South",13,
IF(B313="East",22.6,
IF(B313="West",19,
23.5))))</f>
        <v>28.6</v>
      </c>
      <c r="L313" s="1">
        <f>IF(B313="North",77.2,
IF(B313="South",80.2,
IF(B313="East",88.4,
IF(B313="West",72.8,
78.9))))</f>
        <v>77.2</v>
      </c>
    </row>
    <row r="314" spans="1:12" x14ac:dyDescent="0.25">
      <c r="A314" s="5">
        <v>45521</v>
      </c>
      <c r="B314" s="1" t="s">
        <v>13</v>
      </c>
      <c r="C314" s="1" t="s">
        <v>18</v>
      </c>
      <c r="D314" s="1" t="s">
        <v>30</v>
      </c>
      <c r="E314" s="10">
        <v>15</v>
      </c>
      <c r="F314" s="10">
        <v>1073.5</v>
      </c>
      <c r="G314" s="1" t="s">
        <v>34</v>
      </c>
      <c r="H314" s="10">
        <f t="shared" si="8"/>
        <v>16102.5</v>
      </c>
      <c r="I314" s="7">
        <f>H314*0.7</f>
        <v>11271.75</v>
      </c>
      <c r="J314" s="7">
        <f t="shared" si="9"/>
        <v>4830.75</v>
      </c>
      <c r="K314" s="1">
        <f>IF(B314="North",28.6,
IF(B314="South",13,
IF(B314="East",22.6,
IF(B314="West",19,
23.5))))</f>
        <v>13</v>
      </c>
      <c r="L314" s="1">
        <f>IF(B314="North",77.2,
IF(B314="South",80.2,
IF(B314="East",88.4,
IF(B314="West",72.8,
78.9))))</f>
        <v>80.2</v>
      </c>
    </row>
    <row r="315" spans="1:12" x14ac:dyDescent="0.25">
      <c r="A315" s="5">
        <v>45656</v>
      </c>
      <c r="B315" s="1" t="s">
        <v>12</v>
      </c>
      <c r="C315" s="1" t="s">
        <v>19</v>
      </c>
      <c r="D315" s="1" t="s">
        <v>29</v>
      </c>
      <c r="E315" s="10">
        <v>15</v>
      </c>
      <c r="F315" s="10">
        <v>1992</v>
      </c>
      <c r="G315" s="1" t="s">
        <v>35</v>
      </c>
      <c r="H315" s="10">
        <f t="shared" si="8"/>
        <v>29880</v>
      </c>
      <c r="I315" s="7">
        <v>23462.83956614885</v>
      </c>
      <c r="J315" s="7">
        <f t="shared" si="9"/>
        <v>6417.1604338511497</v>
      </c>
      <c r="K315" s="1">
        <f>IF(B315="North",28.6,
IF(B315="South",13,
IF(B315="East",22.6,
IF(B315="West",19,
23.5))))</f>
        <v>22.6</v>
      </c>
      <c r="L315" s="1">
        <f>IF(B315="North",77.2,
IF(B315="South",80.2,
IF(B315="East",88.4,
IF(B315="West",72.8,
78.9))))</f>
        <v>88.4</v>
      </c>
    </row>
    <row r="316" spans="1:12" x14ac:dyDescent="0.25">
      <c r="A316" s="5">
        <v>45342</v>
      </c>
      <c r="B316" s="1" t="s">
        <v>10</v>
      </c>
      <c r="C316" s="1" t="s">
        <v>20</v>
      </c>
      <c r="D316" s="1" t="s">
        <v>27</v>
      </c>
      <c r="E316" s="10">
        <v>6</v>
      </c>
      <c r="F316" s="10">
        <v>204</v>
      </c>
      <c r="G316" s="1" t="s">
        <v>33</v>
      </c>
      <c r="H316" s="10">
        <f t="shared" si="8"/>
        <v>1224</v>
      </c>
      <c r="I316" s="7">
        <v>1083.9625109098099</v>
      </c>
      <c r="J316" s="7">
        <f t="shared" si="9"/>
        <v>140.03748909019009</v>
      </c>
      <c r="K316" s="1">
        <f>IF(B316="North",28.6,
IF(B316="South",13,
IF(B316="East",22.6,
IF(B316="West",19,
23.5))))</f>
        <v>28.6</v>
      </c>
      <c r="L316" s="1">
        <f>IF(B316="North",77.2,
IF(B316="South",80.2,
IF(B316="East",88.4,
IF(B316="West",72.8,
78.9))))</f>
        <v>77.2</v>
      </c>
    </row>
    <row r="317" spans="1:12" x14ac:dyDescent="0.25">
      <c r="A317" s="5">
        <v>45555</v>
      </c>
      <c r="B317" s="1" t="s">
        <v>11</v>
      </c>
      <c r="C317" s="1" t="s">
        <v>19</v>
      </c>
      <c r="D317" s="1" t="s">
        <v>26</v>
      </c>
      <c r="E317" s="10">
        <v>15</v>
      </c>
      <c r="F317" s="10">
        <v>1589</v>
      </c>
      <c r="G317" s="1" t="s">
        <v>35</v>
      </c>
      <c r="H317" s="10">
        <f t="shared" si="8"/>
        <v>23835</v>
      </c>
      <c r="I317" s="7">
        <v>16522.690515942471</v>
      </c>
      <c r="J317" s="7">
        <f t="shared" si="9"/>
        <v>7312.3094840575286</v>
      </c>
      <c r="K317" s="1">
        <f>IF(B317="North",28.6,
IF(B317="South",13,
IF(B317="East",22.6,
IF(B317="West",19,
23.5))))</f>
        <v>19</v>
      </c>
      <c r="L317" s="1">
        <f>IF(B317="North",77.2,
IF(B317="South",80.2,
IF(B317="East",88.4,
IF(B317="West",72.8,
78.9))))</f>
        <v>72.8</v>
      </c>
    </row>
    <row r="318" spans="1:12" x14ac:dyDescent="0.25">
      <c r="A318" s="5">
        <v>45574</v>
      </c>
      <c r="B318" s="1" t="s">
        <v>13</v>
      </c>
      <c r="C318" s="1" t="s">
        <v>19</v>
      </c>
      <c r="D318" s="1" t="s">
        <v>25</v>
      </c>
      <c r="E318" s="10">
        <v>18</v>
      </c>
      <c r="F318" s="10">
        <v>1582</v>
      </c>
      <c r="G318" s="1" t="s">
        <v>35</v>
      </c>
      <c r="H318" s="10">
        <f t="shared" si="8"/>
        <v>28476</v>
      </c>
      <c r="I318" s="7">
        <v>22045.940943314981</v>
      </c>
      <c r="J318" s="7">
        <f t="shared" si="9"/>
        <v>6430.0590566850187</v>
      </c>
      <c r="K318" s="1">
        <f>IF(B318="North",28.6,
IF(B318="South",13,
IF(B318="East",22.6,
IF(B318="West",19,
23.5))))</f>
        <v>13</v>
      </c>
      <c r="L318" s="1">
        <f>IF(B318="North",77.2,
IF(B318="South",80.2,
IF(B318="East",88.4,
IF(B318="West",72.8,
78.9))))</f>
        <v>80.2</v>
      </c>
    </row>
    <row r="319" spans="1:12" x14ac:dyDescent="0.25">
      <c r="A319" s="5">
        <v>45318</v>
      </c>
      <c r="B319" s="1" t="s">
        <v>11</v>
      </c>
      <c r="C319" s="1" t="s">
        <v>19</v>
      </c>
      <c r="D319" s="1" t="s">
        <v>27</v>
      </c>
      <c r="E319" s="10">
        <v>4</v>
      </c>
      <c r="F319" s="10">
        <v>1555</v>
      </c>
      <c r="G319" s="1" t="s">
        <v>35</v>
      </c>
      <c r="H319" s="10">
        <f t="shared" si="8"/>
        <v>6220</v>
      </c>
      <c r="I319" s="7">
        <v>5511.4238842229825</v>
      </c>
      <c r="J319" s="7">
        <f t="shared" si="9"/>
        <v>708.57611577701755</v>
      </c>
      <c r="K319" s="1">
        <f>IF(B319="North",28.6,
IF(B319="South",13,
IF(B319="East",22.6,
IF(B319="West",19,
23.5))))</f>
        <v>19</v>
      </c>
      <c r="L319" s="1">
        <f>IF(B319="North",77.2,
IF(B319="South",80.2,
IF(B319="East",88.4,
IF(B319="West",72.8,
78.9))))</f>
        <v>72.8</v>
      </c>
    </row>
    <row r="320" spans="1:12" x14ac:dyDescent="0.25">
      <c r="A320" s="5">
        <v>45517</v>
      </c>
      <c r="B320" s="1" t="s">
        <v>12</v>
      </c>
      <c r="C320" s="1" t="s">
        <v>17</v>
      </c>
      <c r="D320" s="1" t="s">
        <v>30</v>
      </c>
      <c r="E320" s="10">
        <v>8</v>
      </c>
      <c r="F320" s="10">
        <v>869</v>
      </c>
      <c r="G320" s="1" t="s">
        <v>33</v>
      </c>
      <c r="H320" s="10">
        <f t="shared" si="8"/>
        <v>6952</v>
      </c>
      <c r="I320" s="7">
        <v>5527.8480747489202</v>
      </c>
      <c r="J320" s="7">
        <f t="shared" si="9"/>
        <v>1424.1519252510798</v>
      </c>
      <c r="K320" s="1">
        <f>IF(B320="North",28.6,
IF(B320="South",13,
IF(B320="East",22.6,
IF(B320="West",19,
23.5))))</f>
        <v>22.6</v>
      </c>
      <c r="L320" s="1">
        <f>IF(B320="North",77.2,
IF(B320="South",80.2,
IF(B320="East",88.4,
IF(B320="West",72.8,
78.9))))</f>
        <v>88.4</v>
      </c>
    </row>
    <row r="321" spans="1:12" x14ac:dyDescent="0.25">
      <c r="A321" s="5">
        <v>45568</v>
      </c>
      <c r="B321" s="1" t="s">
        <v>11</v>
      </c>
      <c r="C321" s="1" t="s">
        <v>18</v>
      </c>
      <c r="D321" s="1" t="s">
        <v>32</v>
      </c>
      <c r="E321" s="10">
        <v>15</v>
      </c>
      <c r="F321" s="10">
        <v>815</v>
      </c>
      <c r="G321" s="1" t="s">
        <v>34</v>
      </c>
      <c r="H321" s="10">
        <f t="shared" si="8"/>
        <v>12225</v>
      </c>
      <c r="I321" s="7">
        <v>9803.6430362217579</v>
      </c>
      <c r="J321" s="7">
        <f t="shared" si="9"/>
        <v>2421.3569637782421</v>
      </c>
      <c r="K321" s="1">
        <f>IF(B321="North",28.6,
IF(B321="South",13,
IF(B321="East",22.6,
IF(B321="West",19,
23.5))))</f>
        <v>19</v>
      </c>
      <c r="L321" s="1">
        <f>IF(B321="North",77.2,
IF(B321="South",80.2,
IF(B321="East",88.4,
IF(B321="West",72.8,
78.9))))</f>
        <v>72.8</v>
      </c>
    </row>
    <row r="322" spans="1:12" x14ac:dyDescent="0.25">
      <c r="A322" s="5">
        <v>45577</v>
      </c>
      <c r="B322" s="1" t="s">
        <v>11</v>
      </c>
      <c r="C322" s="1" t="s">
        <v>23</v>
      </c>
      <c r="D322" s="1" t="s">
        <v>26</v>
      </c>
      <c r="E322" s="10">
        <v>3</v>
      </c>
      <c r="F322" s="10">
        <v>1945</v>
      </c>
      <c r="G322" s="1" t="s">
        <v>34</v>
      </c>
      <c r="H322" s="10">
        <f t="shared" si="8"/>
        <v>5835</v>
      </c>
      <c r="I322" s="7">
        <v>3814.2143594872432</v>
      </c>
      <c r="J322" s="7">
        <f t="shared" si="9"/>
        <v>2020.7856405127568</v>
      </c>
      <c r="K322" s="1">
        <f>IF(B322="North",28.6,
IF(B322="South",13,
IF(B322="East",22.6,
IF(B322="West",19,
23.5))))</f>
        <v>19</v>
      </c>
      <c r="L322" s="1">
        <f>IF(B322="North",77.2,
IF(B322="South",80.2,
IF(B322="East",88.4,
IF(B322="West",72.8,
78.9))))</f>
        <v>72.8</v>
      </c>
    </row>
    <row r="323" spans="1:12" x14ac:dyDescent="0.25">
      <c r="A323" s="5">
        <v>45388</v>
      </c>
      <c r="B323" s="1" t="s">
        <v>12</v>
      </c>
      <c r="C323" s="1" t="s">
        <v>23</v>
      </c>
      <c r="D323" s="1" t="s">
        <v>30</v>
      </c>
      <c r="E323" s="10">
        <v>15</v>
      </c>
      <c r="F323" s="10">
        <v>1897</v>
      </c>
      <c r="G323" s="1" t="s">
        <v>34</v>
      </c>
      <c r="H323" s="10">
        <f t="shared" ref="H323:H386" si="10">E323*F323</f>
        <v>28455</v>
      </c>
      <c r="I323" s="7">
        <v>21278.162523527149</v>
      </c>
      <c r="J323" s="7">
        <f t="shared" ref="J323:J386" si="11">H323-I323</f>
        <v>7176.8374764728505</v>
      </c>
      <c r="K323" s="1">
        <f>IF(B323="North",28.6,
IF(B323="South",13,
IF(B323="East",22.6,
IF(B323="West",19,
23.5))))</f>
        <v>22.6</v>
      </c>
      <c r="L323" s="1">
        <f>IF(B323="North",77.2,
IF(B323="South",80.2,
IF(B323="East",88.4,
IF(B323="West",72.8,
78.9))))</f>
        <v>88.4</v>
      </c>
    </row>
    <row r="324" spans="1:12" x14ac:dyDescent="0.25">
      <c r="A324" s="5">
        <v>45575</v>
      </c>
      <c r="B324" s="1" t="s">
        <v>13</v>
      </c>
      <c r="C324" s="1" t="s">
        <v>20</v>
      </c>
      <c r="D324" s="1" t="s">
        <v>25</v>
      </c>
      <c r="E324" s="10">
        <v>13</v>
      </c>
      <c r="F324" s="10">
        <v>1742</v>
      </c>
      <c r="G324" s="1" t="s">
        <v>33</v>
      </c>
      <c r="H324" s="10">
        <f t="shared" si="10"/>
        <v>22646</v>
      </c>
      <c r="I324" s="7">
        <v>16081.486767161339</v>
      </c>
      <c r="J324" s="7">
        <f t="shared" si="11"/>
        <v>6564.5132328386608</v>
      </c>
      <c r="K324" s="1">
        <f>IF(B324="North",28.6,
IF(B324="South",13,
IF(B324="East",22.6,
IF(B324="West",19,
23.5))))</f>
        <v>13</v>
      </c>
      <c r="L324" s="1">
        <f>IF(B324="North",77.2,
IF(B324="South",80.2,
IF(B324="East",88.4,
IF(B324="West",72.8,
78.9))))</f>
        <v>80.2</v>
      </c>
    </row>
    <row r="325" spans="1:12" x14ac:dyDescent="0.25">
      <c r="A325" s="5">
        <v>45608</v>
      </c>
      <c r="B325" s="1" t="s">
        <v>10</v>
      </c>
      <c r="C325" s="1" t="s">
        <v>19</v>
      </c>
      <c r="D325" s="1" t="s">
        <v>27</v>
      </c>
      <c r="E325" s="10">
        <v>9</v>
      </c>
      <c r="F325" s="10">
        <v>862</v>
      </c>
      <c r="G325" s="1" t="s">
        <v>35</v>
      </c>
      <c r="H325" s="10">
        <f t="shared" si="10"/>
        <v>7758</v>
      </c>
      <c r="I325" s="7">
        <v>5750.9049782548836</v>
      </c>
      <c r="J325" s="7">
        <f t="shared" si="11"/>
        <v>2007.0950217451164</v>
      </c>
      <c r="K325" s="1">
        <f>IF(B325="North",28.6,
IF(B325="South",13,
IF(B325="East",22.6,
IF(B325="West",19,
23.5))))</f>
        <v>28.6</v>
      </c>
      <c r="L325" s="1">
        <f>IF(B325="North",77.2,
IF(B325="South",80.2,
IF(B325="East",88.4,
IF(B325="West",72.8,
78.9))))</f>
        <v>77.2</v>
      </c>
    </row>
    <row r="326" spans="1:12" x14ac:dyDescent="0.25">
      <c r="A326" s="5">
        <v>45595</v>
      </c>
      <c r="B326" s="1" t="s">
        <v>13</v>
      </c>
      <c r="C326" s="1" t="s">
        <v>40</v>
      </c>
      <c r="D326" s="1" t="s">
        <v>28</v>
      </c>
      <c r="E326" s="10">
        <v>2</v>
      </c>
      <c r="F326" s="10">
        <v>1344</v>
      </c>
      <c r="G326" s="1" t="s">
        <v>34</v>
      </c>
      <c r="H326" s="10">
        <f t="shared" si="10"/>
        <v>2688</v>
      </c>
      <c r="I326" s="7">
        <v>2258.5865512427299</v>
      </c>
      <c r="J326" s="7">
        <f t="shared" si="11"/>
        <v>429.41344875727009</v>
      </c>
      <c r="K326" s="1">
        <f>IF(B326="North",28.6,
IF(B326="South",13,
IF(B326="East",22.6,
IF(B326="West",19,
23.5))))</f>
        <v>13</v>
      </c>
      <c r="L326" s="1">
        <f>IF(B326="North",77.2,
IF(B326="South",80.2,
IF(B326="East",88.4,
IF(B326="West",72.8,
78.9))))</f>
        <v>80.2</v>
      </c>
    </row>
    <row r="327" spans="1:12" x14ac:dyDescent="0.25">
      <c r="A327" s="5">
        <v>45438</v>
      </c>
      <c r="B327" s="1" t="s">
        <v>12</v>
      </c>
      <c r="C327" s="1" t="s">
        <v>24</v>
      </c>
      <c r="D327" s="1" t="s">
        <v>36</v>
      </c>
      <c r="E327" s="10">
        <v>8</v>
      </c>
      <c r="F327" s="10">
        <v>478</v>
      </c>
      <c r="G327" s="1" t="s">
        <v>35</v>
      </c>
      <c r="H327" s="10">
        <f t="shared" si="10"/>
        <v>3824</v>
      </c>
      <c r="I327" s="7">
        <v>2822.913878742324</v>
      </c>
      <c r="J327" s="7">
        <f t="shared" si="11"/>
        <v>1001.086121257676</v>
      </c>
      <c r="K327" s="1">
        <f>IF(B327="North",28.6,
IF(B327="South",13,
IF(B327="East",22.6,
IF(B327="West",19,
23.5))))</f>
        <v>22.6</v>
      </c>
      <c r="L327" s="1">
        <f>IF(B327="North",77.2,
IF(B327="South",80.2,
IF(B327="East",88.4,
IF(B327="West",72.8,
78.9))))</f>
        <v>88.4</v>
      </c>
    </row>
    <row r="328" spans="1:12" x14ac:dyDescent="0.25">
      <c r="A328" s="5">
        <v>45295</v>
      </c>
      <c r="B328" s="1" t="s">
        <v>11</v>
      </c>
      <c r="C328" s="1" t="s">
        <v>18</v>
      </c>
      <c r="D328" s="1" t="s">
        <v>25</v>
      </c>
      <c r="E328" s="10">
        <v>17</v>
      </c>
      <c r="F328" s="10">
        <v>1345</v>
      </c>
      <c r="G328" s="1" t="s">
        <v>34</v>
      </c>
      <c r="H328" s="10">
        <f t="shared" si="10"/>
        <v>22865</v>
      </c>
      <c r="I328" s="7">
        <v>14150.124227509619</v>
      </c>
      <c r="J328" s="7">
        <f t="shared" si="11"/>
        <v>8714.8757724903808</v>
      </c>
      <c r="K328" s="1">
        <f>IF(B328="North",28.6,
IF(B328="South",13,
IF(B328="East",22.6,
IF(B328="West",19,
23.5))))</f>
        <v>19</v>
      </c>
      <c r="L328" s="1">
        <f>IF(B328="North",77.2,
IF(B328="South",80.2,
IF(B328="East",88.4,
IF(B328="West",72.8,
78.9))))</f>
        <v>72.8</v>
      </c>
    </row>
    <row r="329" spans="1:12" x14ac:dyDescent="0.25">
      <c r="A329" s="5">
        <v>45326</v>
      </c>
      <c r="B329" s="1" t="s">
        <v>13</v>
      </c>
      <c r="C329" s="1" t="s">
        <v>23</v>
      </c>
      <c r="D329" s="1" t="s">
        <v>30</v>
      </c>
      <c r="E329" s="10">
        <v>13</v>
      </c>
      <c r="F329" s="10">
        <v>1381</v>
      </c>
      <c r="G329" s="1" t="s">
        <v>34</v>
      </c>
      <c r="H329" s="10">
        <f t="shared" si="10"/>
        <v>17953</v>
      </c>
      <c r="I329" s="7">
        <v>15648.956832792441</v>
      </c>
      <c r="J329" s="7">
        <f t="shared" si="11"/>
        <v>2304.0431672075592</v>
      </c>
      <c r="K329" s="1">
        <f>IF(B329="North",28.6,
IF(B329="South",13,
IF(B329="East",22.6,
IF(B329="West",19,
23.5))))</f>
        <v>13</v>
      </c>
      <c r="L329" s="1">
        <f>IF(B329="North",77.2,
IF(B329="South",80.2,
IF(B329="East",88.4,
IF(B329="West",72.8,
78.9))))</f>
        <v>80.2</v>
      </c>
    </row>
    <row r="330" spans="1:12" x14ac:dyDescent="0.25">
      <c r="A330" s="5">
        <v>45483</v>
      </c>
      <c r="B330" s="1" t="s">
        <v>10</v>
      </c>
      <c r="C330" s="1" t="s">
        <v>21</v>
      </c>
      <c r="D330" s="1" t="s">
        <v>29</v>
      </c>
      <c r="E330" s="10">
        <v>1</v>
      </c>
      <c r="F330" s="10">
        <v>812</v>
      </c>
      <c r="G330" s="1" t="s">
        <v>35</v>
      </c>
      <c r="H330" s="10">
        <f t="shared" si="10"/>
        <v>812</v>
      </c>
      <c r="I330" s="7">
        <v>619.91715018330001</v>
      </c>
      <c r="J330" s="7">
        <f t="shared" si="11"/>
        <v>192.08284981669999</v>
      </c>
      <c r="K330" s="1">
        <f>IF(B330="North",28.6,
IF(B330="South",13,
IF(B330="East",22.6,
IF(B330="West",19,
23.5))))</f>
        <v>28.6</v>
      </c>
      <c r="L330" s="1">
        <f>IF(B330="North",77.2,
IF(B330="South",80.2,
IF(B330="East",88.4,
IF(B330="West",72.8,
78.9))))</f>
        <v>77.2</v>
      </c>
    </row>
    <row r="331" spans="1:12" x14ac:dyDescent="0.25">
      <c r="A331" s="5">
        <v>45340</v>
      </c>
      <c r="B331" s="1" t="s">
        <v>12</v>
      </c>
      <c r="C331" s="1" t="s">
        <v>18</v>
      </c>
      <c r="D331" s="1" t="s">
        <v>27</v>
      </c>
      <c r="E331" s="10">
        <v>2</v>
      </c>
      <c r="F331" s="10">
        <v>1490</v>
      </c>
      <c r="G331" s="1" t="s">
        <v>34</v>
      </c>
      <c r="H331" s="10">
        <f t="shared" si="10"/>
        <v>2980</v>
      </c>
      <c r="I331" s="7">
        <v>2614.497956526081</v>
      </c>
      <c r="J331" s="7">
        <f t="shared" si="11"/>
        <v>365.502043473919</v>
      </c>
      <c r="K331" s="1">
        <f>IF(B331="North",28.6,
IF(B331="South",13,
IF(B331="East",22.6,
IF(B331="West",19,
23.5))))</f>
        <v>22.6</v>
      </c>
      <c r="L331" s="1">
        <f>IF(B331="North",77.2,
IF(B331="South",80.2,
IF(B331="East",88.4,
IF(B331="West",72.8,
78.9))))</f>
        <v>88.4</v>
      </c>
    </row>
    <row r="332" spans="1:12" x14ac:dyDescent="0.25">
      <c r="A332" s="5">
        <v>45308</v>
      </c>
      <c r="B332" s="1" t="s">
        <v>13</v>
      </c>
      <c r="C332" s="1" t="s">
        <v>21</v>
      </c>
      <c r="D332" s="1" t="s">
        <v>29</v>
      </c>
      <c r="E332" s="10">
        <v>15</v>
      </c>
      <c r="F332" s="10">
        <v>1893</v>
      </c>
      <c r="G332" s="1" t="s">
        <v>35</v>
      </c>
      <c r="H332" s="10">
        <f t="shared" si="10"/>
        <v>28395</v>
      </c>
      <c r="I332" s="7">
        <v>21912.601910707319</v>
      </c>
      <c r="J332" s="7">
        <f t="shared" si="11"/>
        <v>6482.3980892926811</v>
      </c>
      <c r="K332" s="1">
        <f>IF(B332="North",28.6,
IF(B332="South",13,
IF(B332="East",22.6,
IF(B332="West",19,
23.5))))</f>
        <v>13</v>
      </c>
      <c r="L332" s="1">
        <f>IF(B332="North",77.2,
IF(B332="South",80.2,
IF(B332="East",88.4,
IF(B332="West",72.8,
78.9))))</f>
        <v>80.2</v>
      </c>
    </row>
    <row r="333" spans="1:12" x14ac:dyDescent="0.25">
      <c r="A333" s="5">
        <v>45463</v>
      </c>
      <c r="B333" s="1" t="s">
        <v>10</v>
      </c>
      <c r="C333" s="1" t="s">
        <v>23</v>
      </c>
      <c r="D333" s="1" t="s">
        <v>29</v>
      </c>
      <c r="E333" s="10">
        <v>12</v>
      </c>
      <c r="F333" s="10">
        <v>1472</v>
      </c>
      <c r="G333" s="1" t="s">
        <v>34</v>
      </c>
      <c r="H333" s="10">
        <f t="shared" si="10"/>
        <v>17664</v>
      </c>
      <c r="I333" s="7">
        <v>10967.41676561504</v>
      </c>
      <c r="J333" s="7">
        <f t="shared" si="11"/>
        <v>6696.5832343849597</v>
      </c>
      <c r="K333" s="1">
        <f>IF(B333="North",28.6,
IF(B333="South",13,
IF(B333="East",22.6,
IF(B333="West",19,
23.5))))</f>
        <v>28.6</v>
      </c>
      <c r="L333" s="1">
        <f>IF(B333="North",77.2,
IF(B333="South",80.2,
IF(B333="East",88.4,
IF(B333="West",72.8,
78.9))))</f>
        <v>77.2</v>
      </c>
    </row>
    <row r="334" spans="1:12" x14ac:dyDescent="0.25">
      <c r="A334" s="5">
        <v>45511</v>
      </c>
      <c r="B334" s="1" t="s">
        <v>12</v>
      </c>
      <c r="C334" s="1" t="s">
        <v>24</v>
      </c>
      <c r="D334" s="1" t="s">
        <v>29</v>
      </c>
      <c r="E334" s="10">
        <v>14</v>
      </c>
      <c r="F334" s="10">
        <v>324</v>
      </c>
      <c r="G334" s="1" t="s">
        <v>35</v>
      </c>
      <c r="H334" s="10">
        <f t="shared" si="10"/>
        <v>4536</v>
      </c>
      <c r="I334" s="7">
        <v>3473.9446707098691</v>
      </c>
      <c r="J334" s="7">
        <f t="shared" si="11"/>
        <v>1062.0553292901309</v>
      </c>
      <c r="K334" s="1">
        <f>IF(B334="North",28.6,
IF(B334="South",13,
IF(B334="East",22.6,
IF(B334="West",19,
23.5))))</f>
        <v>22.6</v>
      </c>
      <c r="L334" s="1">
        <f>IF(B334="North",77.2,
IF(B334="South",80.2,
IF(B334="East",88.4,
IF(B334="West",72.8,
78.9))))</f>
        <v>88.4</v>
      </c>
    </row>
    <row r="335" spans="1:12" x14ac:dyDescent="0.25">
      <c r="A335" s="5">
        <v>45449</v>
      </c>
      <c r="B335" s="1" t="s">
        <v>10</v>
      </c>
      <c r="C335" s="1" t="s">
        <v>21</v>
      </c>
      <c r="D335" s="1" t="s">
        <v>29</v>
      </c>
      <c r="E335" s="10">
        <v>2</v>
      </c>
      <c r="F335" s="10">
        <v>1837</v>
      </c>
      <c r="G335" s="1" t="s">
        <v>35</v>
      </c>
      <c r="H335" s="10">
        <f t="shared" si="10"/>
        <v>3674</v>
      </c>
      <c r="I335" s="7">
        <v>2838.979451393433</v>
      </c>
      <c r="J335" s="7">
        <f t="shared" si="11"/>
        <v>835.02054860656699</v>
      </c>
      <c r="K335" s="1">
        <f>IF(B335="North",28.6,
IF(B335="South",13,
IF(B335="East",22.6,
IF(B335="West",19,
23.5))))</f>
        <v>28.6</v>
      </c>
      <c r="L335" s="1">
        <f>IF(B335="North",77.2,
IF(B335="South",80.2,
IF(B335="East",88.4,
IF(B335="West",72.8,
78.9))))</f>
        <v>77.2</v>
      </c>
    </row>
    <row r="336" spans="1:12" x14ac:dyDescent="0.25">
      <c r="A336" s="5">
        <v>45337</v>
      </c>
      <c r="B336" s="1" t="s">
        <v>12</v>
      </c>
      <c r="C336" s="1" t="s">
        <v>17</v>
      </c>
      <c r="D336" s="1" t="s">
        <v>29</v>
      </c>
      <c r="E336" s="10">
        <v>18</v>
      </c>
      <c r="F336" s="10">
        <v>837</v>
      </c>
      <c r="G336" s="1" t="s">
        <v>33</v>
      </c>
      <c r="H336" s="10">
        <f t="shared" si="10"/>
        <v>15066</v>
      </c>
      <c r="I336" s="7">
        <v>10008.373386654381</v>
      </c>
      <c r="J336" s="7">
        <f t="shared" si="11"/>
        <v>5057.6266133456193</v>
      </c>
      <c r="K336" s="1">
        <f>IF(B336="North",28.6,
IF(B336="South",13,
IF(B336="East",22.6,
IF(B336="West",19,
23.5))))</f>
        <v>22.6</v>
      </c>
      <c r="L336" s="1">
        <f>IF(B336="North",77.2,
IF(B336="South",80.2,
IF(B336="East",88.4,
IF(B336="West",72.8,
78.9))))</f>
        <v>88.4</v>
      </c>
    </row>
    <row r="337" spans="1:12" x14ac:dyDescent="0.25">
      <c r="A337" s="5">
        <v>45297</v>
      </c>
      <c r="B337" s="1" t="s">
        <v>11</v>
      </c>
      <c r="C337" s="1" t="s">
        <v>23</v>
      </c>
      <c r="D337" s="1" t="s">
        <v>26</v>
      </c>
      <c r="E337" s="10">
        <v>7</v>
      </c>
      <c r="F337" s="10">
        <v>335</v>
      </c>
      <c r="G337" s="1" t="s">
        <v>34</v>
      </c>
      <c r="H337" s="10">
        <f t="shared" si="10"/>
        <v>2345</v>
      </c>
      <c r="I337" s="7">
        <v>1738.3689606674291</v>
      </c>
      <c r="J337" s="7">
        <f t="shared" si="11"/>
        <v>606.63103933257094</v>
      </c>
      <c r="K337" s="1">
        <f>IF(B337="North",28.6,
IF(B337="South",13,
IF(B337="East",22.6,
IF(B337="West",19,
23.5))))</f>
        <v>19</v>
      </c>
      <c r="L337" s="1">
        <f>IF(B337="North",77.2,
IF(B337="South",80.2,
IF(B337="East",88.4,
IF(B337="West",72.8,
78.9))))</f>
        <v>72.8</v>
      </c>
    </row>
    <row r="338" spans="1:12" x14ac:dyDescent="0.25">
      <c r="A338" s="5">
        <v>45390</v>
      </c>
      <c r="B338" s="1" t="s">
        <v>13</v>
      </c>
      <c r="C338" s="1" t="s">
        <v>17</v>
      </c>
      <c r="D338" s="1" t="s">
        <v>30</v>
      </c>
      <c r="E338" s="10">
        <v>6</v>
      </c>
      <c r="F338" s="10">
        <v>282</v>
      </c>
      <c r="G338" s="1" t="s">
        <v>33</v>
      </c>
      <c r="H338" s="10">
        <f t="shared" si="10"/>
        <v>1692</v>
      </c>
      <c r="I338" s="7">
        <v>1248.4125114270651</v>
      </c>
      <c r="J338" s="7">
        <f t="shared" si="11"/>
        <v>443.58748857293494</v>
      </c>
      <c r="K338" s="1">
        <f>IF(B338="North",28.6,
IF(B338="South",13,
IF(B338="East",22.6,
IF(B338="West",19,
23.5))))</f>
        <v>13</v>
      </c>
      <c r="L338" s="1">
        <f>IF(B338="North",77.2,
IF(B338="South",80.2,
IF(B338="East",88.4,
IF(B338="West",72.8,
78.9))))</f>
        <v>80.2</v>
      </c>
    </row>
    <row r="339" spans="1:12" x14ac:dyDescent="0.25">
      <c r="A339" s="5">
        <v>45524</v>
      </c>
      <c r="B339" s="1" t="s">
        <v>10</v>
      </c>
      <c r="C339" s="1" t="s">
        <v>23</v>
      </c>
      <c r="D339" s="1" t="s">
        <v>25</v>
      </c>
      <c r="E339" s="10">
        <v>14</v>
      </c>
      <c r="F339" s="10">
        <v>811</v>
      </c>
      <c r="G339" s="1" t="s">
        <v>34</v>
      </c>
      <c r="H339" s="10">
        <f t="shared" si="10"/>
        <v>11354</v>
      </c>
      <c r="I339" s="7">
        <v>8934.0407387939795</v>
      </c>
      <c r="J339" s="7">
        <f t="shared" si="11"/>
        <v>2419.9592612060205</v>
      </c>
      <c r="K339" s="1">
        <f>IF(B339="North",28.6,
IF(B339="South",13,
IF(B339="East",22.6,
IF(B339="West",19,
23.5))))</f>
        <v>28.6</v>
      </c>
      <c r="L339" s="1">
        <f>IF(B339="North",77.2,
IF(B339="South",80.2,
IF(B339="East",88.4,
IF(B339="West",72.8,
78.9))))</f>
        <v>77.2</v>
      </c>
    </row>
    <row r="340" spans="1:12" x14ac:dyDescent="0.25">
      <c r="A340" s="5">
        <v>45328</v>
      </c>
      <c r="B340" s="1" t="s">
        <v>12</v>
      </c>
      <c r="C340" s="1" t="s">
        <v>22</v>
      </c>
      <c r="D340" s="1" t="s">
        <v>30</v>
      </c>
      <c r="E340" s="10">
        <v>8</v>
      </c>
      <c r="F340" s="10">
        <v>1992</v>
      </c>
      <c r="G340" s="1" t="s">
        <v>35</v>
      </c>
      <c r="H340" s="10">
        <f t="shared" si="10"/>
        <v>15936</v>
      </c>
      <c r="I340" s="7">
        <v>10802.763082940281</v>
      </c>
      <c r="J340" s="7">
        <f t="shared" si="11"/>
        <v>5133.2369170597194</v>
      </c>
      <c r="K340" s="1">
        <f>IF(B340="North",28.6,
IF(B340="South",13,
IF(B340="East",22.6,
IF(B340="West",19,
23.5))))</f>
        <v>22.6</v>
      </c>
      <c r="L340" s="1">
        <f>IF(B340="North",77.2,
IF(B340="South",80.2,
IF(B340="East",88.4,
IF(B340="West",72.8,
78.9))))</f>
        <v>88.4</v>
      </c>
    </row>
    <row r="341" spans="1:12" x14ac:dyDescent="0.25">
      <c r="A341" s="5">
        <v>45571</v>
      </c>
      <c r="B341" s="1" t="s">
        <v>10</v>
      </c>
      <c r="C341" s="1" t="s">
        <v>22</v>
      </c>
      <c r="D341" s="1" t="s">
        <v>25</v>
      </c>
      <c r="E341" s="10">
        <v>2</v>
      </c>
      <c r="F341" s="10">
        <v>1881</v>
      </c>
      <c r="G341" s="1" t="s">
        <v>35</v>
      </c>
      <c r="H341" s="10">
        <f t="shared" si="10"/>
        <v>3762</v>
      </c>
      <c r="I341" s="7">
        <v>2913.761264496331</v>
      </c>
      <c r="J341" s="7">
        <f t="shared" si="11"/>
        <v>848.23873550366898</v>
      </c>
      <c r="K341" s="1">
        <f>IF(B341="North",28.6,
IF(B341="South",13,
IF(B341="East",22.6,
IF(B341="West",19,
23.5))))</f>
        <v>28.6</v>
      </c>
      <c r="L341" s="1">
        <f>IF(B341="North",77.2,
IF(B341="South",80.2,
IF(B341="East",88.4,
IF(B341="West",72.8,
78.9))))</f>
        <v>77.2</v>
      </c>
    </row>
    <row r="342" spans="1:12" x14ac:dyDescent="0.25">
      <c r="A342" s="5">
        <v>45640</v>
      </c>
      <c r="B342" s="1" t="s">
        <v>36</v>
      </c>
      <c r="C342" s="1" t="s">
        <v>22</v>
      </c>
      <c r="D342" s="1" t="s">
        <v>31</v>
      </c>
      <c r="E342" s="10">
        <v>17</v>
      </c>
      <c r="F342" s="10">
        <v>543</v>
      </c>
      <c r="G342" s="1" t="s">
        <v>35</v>
      </c>
      <c r="H342" s="10">
        <f t="shared" si="10"/>
        <v>9231</v>
      </c>
      <c r="I342" s="7">
        <v>6205.8684916744851</v>
      </c>
      <c r="J342" s="7">
        <f t="shared" si="11"/>
        <v>3025.1315083255149</v>
      </c>
      <c r="K342" s="1">
        <f>IF(B342="North",28.6,
IF(B342="South",13,
IF(B342="East",22.6,
IF(B342="West",19,
23.5))))</f>
        <v>23.5</v>
      </c>
      <c r="L342" s="1">
        <f>IF(B342="North",77.2,
IF(B342="South",80.2,
IF(B342="East",88.4,
IF(B342="West",72.8,
78.9))))</f>
        <v>78.900000000000006</v>
      </c>
    </row>
    <row r="343" spans="1:12" x14ac:dyDescent="0.25">
      <c r="A343" s="5">
        <v>45593</v>
      </c>
      <c r="B343" s="1" t="s">
        <v>13</v>
      </c>
      <c r="C343" s="1" t="s">
        <v>21</v>
      </c>
      <c r="D343" s="1" t="s">
        <v>27</v>
      </c>
      <c r="E343" s="10">
        <v>5</v>
      </c>
      <c r="F343" s="10">
        <v>1988</v>
      </c>
      <c r="G343" s="1" t="s">
        <v>35</v>
      </c>
      <c r="H343" s="10">
        <f t="shared" si="10"/>
        <v>9940</v>
      </c>
      <c r="I343" s="7">
        <v>7295.299801712049</v>
      </c>
      <c r="J343" s="7">
        <f t="shared" si="11"/>
        <v>2644.700198287951</v>
      </c>
      <c r="K343" s="1">
        <f>IF(B343="North",28.6,
IF(B343="South",13,
IF(B343="East",22.6,
IF(B343="West",19,
23.5))))</f>
        <v>13</v>
      </c>
      <c r="L343" s="1">
        <f>IF(B343="North",77.2,
IF(B343="South",80.2,
IF(B343="East",88.4,
IF(B343="West",72.8,
78.9))))</f>
        <v>80.2</v>
      </c>
    </row>
    <row r="344" spans="1:12" x14ac:dyDescent="0.25">
      <c r="A344" s="5">
        <v>45472</v>
      </c>
      <c r="B344" s="1" t="s">
        <v>11</v>
      </c>
      <c r="C344" s="1" t="s">
        <v>17</v>
      </c>
      <c r="D344" s="1" t="s">
        <v>28</v>
      </c>
      <c r="E344" s="10">
        <v>14</v>
      </c>
      <c r="F344" s="10">
        <v>722</v>
      </c>
      <c r="G344" s="1" t="s">
        <v>33</v>
      </c>
      <c r="H344" s="10">
        <f t="shared" si="10"/>
        <v>10108</v>
      </c>
      <c r="I344" s="7">
        <v>6436.892762670449</v>
      </c>
      <c r="J344" s="7">
        <f t="shared" si="11"/>
        <v>3671.107237329551</v>
      </c>
      <c r="K344" s="1">
        <f>IF(B344="North",28.6,
IF(B344="South",13,
IF(B344="East",22.6,
IF(B344="West",19,
23.5))))</f>
        <v>19</v>
      </c>
      <c r="L344" s="1">
        <f>IF(B344="North",77.2,
IF(B344="South",80.2,
IF(B344="East",88.4,
IF(B344="West",72.8,
78.9))))</f>
        <v>72.8</v>
      </c>
    </row>
    <row r="345" spans="1:12" x14ac:dyDescent="0.25">
      <c r="A345" s="5">
        <v>45386</v>
      </c>
      <c r="B345" s="1" t="s">
        <v>10</v>
      </c>
      <c r="C345" s="1" t="s">
        <v>17</v>
      </c>
      <c r="D345" s="1" t="s">
        <v>26</v>
      </c>
      <c r="E345" s="10">
        <v>3</v>
      </c>
      <c r="F345" s="10">
        <v>1129</v>
      </c>
      <c r="G345" s="1" t="s">
        <v>33</v>
      </c>
      <c r="H345" s="10">
        <f t="shared" si="10"/>
        <v>3387</v>
      </c>
      <c r="I345" s="7">
        <v>2070.1010866820479</v>
      </c>
      <c r="J345" s="7">
        <f t="shared" si="11"/>
        <v>1316.8989133179521</v>
      </c>
      <c r="K345" s="1">
        <f>IF(B345="North",28.6,
IF(B345="South",13,
IF(B345="East",22.6,
IF(B345="West",19,
23.5))))</f>
        <v>28.6</v>
      </c>
      <c r="L345" s="1">
        <f>IF(B345="North",77.2,
IF(B345="South",80.2,
IF(B345="East",88.4,
IF(B345="West",72.8,
78.9))))</f>
        <v>77.2</v>
      </c>
    </row>
    <row r="346" spans="1:12" x14ac:dyDescent="0.25">
      <c r="A346" s="5">
        <v>45390</v>
      </c>
      <c r="B346" s="1" t="s">
        <v>36</v>
      </c>
      <c r="C346" s="1" t="s">
        <v>17</v>
      </c>
      <c r="D346" s="1" t="s">
        <v>27</v>
      </c>
      <c r="E346" s="10">
        <v>5</v>
      </c>
      <c r="F346" s="10">
        <v>1359</v>
      </c>
      <c r="G346" s="1" t="s">
        <v>33</v>
      </c>
      <c r="H346" s="10">
        <f t="shared" si="10"/>
        <v>6795</v>
      </c>
      <c r="I346" s="7">
        <v>4730.5172232641498</v>
      </c>
      <c r="J346" s="7">
        <f t="shared" si="11"/>
        <v>2064.4827767358502</v>
      </c>
      <c r="K346" s="1">
        <f>IF(B346="North",28.6,
IF(B346="South",13,
IF(B346="East",22.6,
IF(B346="West",19,
23.5))))</f>
        <v>23.5</v>
      </c>
      <c r="L346" s="1">
        <f>IF(B346="North",77.2,
IF(B346="South",80.2,
IF(B346="East",88.4,
IF(B346="West",72.8,
78.9))))</f>
        <v>78.900000000000006</v>
      </c>
    </row>
    <row r="347" spans="1:12" x14ac:dyDescent="0.25">
      <c r="A347" s="5">
        <v>45479</v>
      </c>
      <c r="B347" s="1" t="s">
        <v>12</v>
      </c>
      <c r="C347" s="1" t="s">
        <v>24</v>
      </c>
      <c r="D347" s="1" t="s">
        <v>26</v>
      </c>
      <c r="E347" s="10">
        <v>16</v>
      </c>
      <c r="F347" s="10">
        <v>1250</v>
      </c>
      <c r="G347" s="1" t="s">
        <v>35</v>
      </c>
      <c r="H347" s="10">
        <f t="shared" si="10"/>
        <v>20000</v>
      </c>
      <c r="I347" s="7">
        <v>13647.430503898449</v>
      </c>
      <c r="J347" s="7">
        <f t="shared" si="11"/>
        <v>6352.5694961015506</v>
      </c>
      <c r="K347" s="1">
        <f>IF(B347="North",28.6,
IF(B347="South",13,
IF(B347="East",22.6,
IF(B347="West",19,
23.5))))</f>
        <v>22.6</v>
      </c>
      <c r="L347" s="1">
        <f>IF(B347="North",77.2,
IF(B347="South",80.2,
IF(B347="East",88.4,
IF(B347="West",72.8,
78.9))))</f>
        <v>88.4</v>
      </c>
    </row>
    <row r="348" spans="1:12" x14ac:dyDescent="0.25">
      <c r="A348" s="5">
        <v>45407</v>
      </c>
      <c r="B348" s="1" t="s">
        <v>11</v>
      </c>
      <c r="C348" s="1" t="s">
        <v>17</v>
      </c>
      <c r="D348" s="1" t="s">
        <v>25</v>
      </c>
      <c r="E348" s="10">
        <v>18</v>
      </c>
      <c r="F348" s="10">
        <v>1227</v>
      </c>
      <c r="G348" s="1" t="s">
        <v>33</v>
      </c>
      <c r="H348" s="10">
        <f t="shared" si="10"/>
        <v>22086</v>
      </c>
      <c r="I348" s="7">
        <v>15947.875965937301</v>
      </c>
      <c r="J348" s="7">
        <f t="shared" si="11"/>
        <v>6138.1240340626991</v>
      </c>
      <c r="K348" s="1">
        <f>IF(B348="North",28.6,
IF(B348="South",13,
IF(B348="East",22.6,
IF(B348="West",19,
23.5))))</f>
        <v>19</v>
      </c>
      <c r="L348" s="1">
        <f>IF(B348="North",77.2,
IF(B348="South",80.2,
IF(B348="East",88.4,
IF(B348="West",72.8,
78.9))))</f>
        <v>72.8</v>
      </c>
    </row>
    <row r="349" spans="1:12" x14ac:dyDescent="0.25">
      <c r="A349" s="5">
        <v>45482</v>
      </c>
      <c r="B349" s="1" t="s">
        <v>12</v>
      </c>
      <c r="C349" s="1" t="s">
        <v>24</v>
      </c>
      <c r="D349" s="1" t="s">
        <v>30</v>
      </c>
      <c r="E349" s="10">
        <v>17</v>
      </c>
      <c r="F349" s="10">
        <v>848</v>
      </c>
      <c r="G349" s="1" t="s">
        <v>35</v>
      </c>
      <c r="H349" s="10">
        <f t="shared" si="10"/>
        <v>14416</v>
      </c>
      <c r="I349" s="7">
        <v>12809.98243497747</v>
      </c>
      <c r="J349" s="7">
        <f t="shared" si="11"/>
        <v>1606.0175650225301</v>
      </c>
      <c r="K349" s="1">
        <f>IF(B349="North",28.6,
IF(B349="South",13,
IF(B349="East",22.6,
IF(B349="West",19,
23.5))))</f>
        <v>22.6</v>
      </c>
      <c r="L349" s="1">
        <f>IF(B349="North",77.2,
IF(B349="South",80.2,
IF(B349="East",88.4,
IF(B349="West",72.8,
78.9))))</f>
        <v>88.4</v>
      </c>
    </row>
    <row r="350" spans="1:12" x14ac:dyDescent="0.25">
      <c r="A350" s="5">
        <v>45544</v>
      </c>
      <c r="B350" s="1" t="s">
        <v>11</v>
      </c>
      <c r="C350" s="1" t="s">
        <v>22</v>
      </c>
      <c r="D350" s="1" t="s">
        <v>29</v>
      </c>
      <c r="E350" s="10">
        <v>11</v>
      </c>
      <c r="F350" s="10">
        <v>1603</v>
      </c>
      <c r="G350" s="1" t="s">
        <v>35</v>
      </c>
      <c r="H350" s="10">
        <f t="shared" si="10"/>
        <v>17633</v>
      </c>
      <c r="I350" s="7">
        <v>13342.34074640556</v>
      </c>
      <c r="J350" s="7">
        <f t="shared" si="11"/>
        <v>4290.6592535944401</v>
      </c>
      <c r="K350" s="1">
        <f>IF(B350="North",28.6,
IF(B350="South",13,
IF(B350="East",22.6,
IF(B350="West",19,
23.5))))</f>
        <v>19</v>
      </c>
      <c r="L350" s="1">
        <f>IF(B350="North",77.2,
IF(B350="South",80.2,
IF(B350="East",88.4,
IF(B350="West",72.8,
78.9))))</f>
        <v>72.8</v>
      </c>
    </row>
    <row r="351" spans="1:12" x14ac:dyDescent="0.25">
      <c r="A351" s="5">
        <v>45452</v>
      </c>
      <c r="B351" s="1" t="s">
        <v>12</v>
      </c>
      <c r="C351" s="1" t="s">
        <v>22</v>
      </c>
      <c r="D351" s="1" t="s">
        <v>31</v>
      </c>
      <c r="E351" s="10">
        <v>17</v>
      </c>
      <c r="F351" s="10">
        <v>254</v>
      </c>
      <c r="G351" s="1" t="s">
        <v>35</v>
      </c>
      <c r="H351" s="10">
        <f t="shared" si="10"/>
        <v>4318</v>
      </c>
      <c r="I351" s="7">
        <v>3307.3851051295542</v>
      </c>
      <c r="J351" s="7">
        <f t="shared" si="11"/>
        <v>1010.6148948704458</v>
      </c>
      <c r="K351" s="1">
        <f>IF(B351="North",28.6,
IF(B351="South",13,
IF(B351="East",22.6,
IF(B351="West",19,
23.5))))</f>
        <v>22.6</v>
      </c>
      <c r="L351" s="1">
        <f>IF(B351="North",77.2,
IF(B351="South",80.2,
IF(B351="East",88.4,
IF(B351="West",72.8,
78.9))))</f>
        <v>88.4</v>
      </c>
    </row>
    <row r="352" spans="1:12" x14ac:dyDescent="0.25">
      <c r="A352" s="5">
        <v>45547</v>
      </c>
      <c r="B352" s="1" t="s">
        <v>13</v>
      </c>
      <c r="C352" s="1" t="s">
        <v>21</v>
      </c>
      <c r="D352" s="1" t="s">
        <v>31</v>
      </c>
      <c r="E352" s="10">
        <v>16</v>
      </c>
      <c r="F352" s="10">
        <v>356</v>
      </c>
      <c r="G352" s="1" t="s">
        <v>35</v>
      </c>
      <c r="H352" s="10">
        <f t="shared" si="10"/>
        <v>5696</v>
      </c>
      <c r="I352" s="7">
        <v>5026.6078550798657</v>
      </c>
      <c r="J352" s="7">
        <f t="shared" si="11"/>
        <v>669.39214492013434</v>
      </c>
      <c r="K352" s="1">
        <f>IF(B352="North",28.6,
IF(B352="South",13,
IF(B352="East",22.6,
IF(B352="West",19,
23.5))))</f>
        <v>13</v>
      </c>
      <c r="L352" s="1">
        <f>IF(B352="North",77.2,
IF(B352="South",80.2,
IF(B352="East",88.4,
IF(B352="West",72.8,
78.9))))</f>
        <v>80.2</v>
      </c>
    </row>
    <row r="353" spans="1:12" x14ac:dyDescent="0.25">
      <c r="A353" s="5">
        <v>45614</v>
      </c>
      <c r="B353" s="1" t="s">
        <v>36</v>
      </c>
      <c r="C353" s="1" t="s">
        <v>23</v>
      </c>
      <c r="D353" s="1" t="s">
        <v>36</v>
      </c>
      <c r="E353" s="10">
        <v>2</v>
      </c>
      <c r="F353" s="10">
        <v>334</v>
      </c>
      <c r="G353" s="1" t="s">
        <v>34</v>
      </c>
      <c r="H353" s="10">
        <f t="shared" si="10"/>
        <v>668</v>
      </c>
      <c r="I353" s="7">
        <v>585.39788637340337</v>
      </c>
      <c r="J353" s="7">
        <f t="shared" si="11"/>
        <v>82.602113626596633</v>
      </c>
      <c r="K353" s="1">
        <f>IF(B353="North",28.6,
IF(B353="South",13,
IF(B353="East",22.6,
IF(B353="West",19,
23.5))))</f>
        <v>23.5</v>
      </c>
      <c r="L353" s="1">
        <f>IF(B353="North",77.2,
IF(B353="South",80.2,
IF(B353="East",88.4,
IF(B353="West",72.8,
78.9))))</f>
        <v>78.900000000000006</v>
      </c>
    </row>
    <row r="354" spans="1:12" x14ac:dyDescent="0.25">
      <c r="A354" s="5">
        <v>45419</v>
      </c>
      <c r="B354" s="1" t="s">
        <v>13</v>
      </c>
      <c r="C354" s="1" t="s">
        <v>22</v>
      </c>
      <c r="D354" s="1" t="s">
        <v>28</v>
      </c>
      <c r="E354" s="10">
        <v>4</v>
      </c>
      <c r="F354" s="10">
        <v>599</v>
      </c>
      <c r="G354" s="1" t="s">
        <v>35</v>
      </c>
      <c r="H354" s="10">
        <f t="shared" si="10"/>
        <v>2396</v>
      </c>
      <c r="I354" s="7">
        <v>2073.0996724636202</v>
      </c>
      <c r="J354" s="7">
        <f t="shared" si="11"/>
        <v>322.90032753637979</v>
      </c>
      <c r="K354" s="1">
        <f>IF(B354="North",28.6,
IF(B354="South",13,
IF(B354="East",22.6,
IF(B354="West",19,
23.5))))</f>
        <v>13</v>
      </c>
      <c r="L354" s="1">
        <f>IF(B354="North",77.2,
IF(B354="South",80.2,
IF(B354="East",88.4,
IF(B354="West",72.8,
78.9))))</f>
        <v>80.2</v>
      </c>
    </row>
    <row r="355" spans="1:12" x14ac:dyDescent="0.25">
      <c r="A355" s="5">
        <v>45309</v>
      </c>
      <c r="B355" s="1" t="s">
        <v>10</v>
      </c>
      <c r="C355" s="1" t="s">
        <v>23</v>
      </c>
      <c r="D355" s="1" t="s">
        <v>31</v>
      </c>
      <c r="E355" s="10">
        <v>7</v>
      </c>
      <c r="F355" s="10">
        <v>388</v>
      </c>
      <c r="G355" s="1" t="s">
        <v>34</v>
      </c>
      <c r="H355" s="10">
        <f t="shared" si="10"/>
        <v>2716</v>
      </c>
      <c r="I355" s="7">
        <v>1709.44611580581</v>
      </c>
      <c r="J355" s="7">
        <f t="shared" si="11"/>
        <v>1006.55388419419</v>
      </c>
      <c r="K355" s="1">
        <f>IF(B355="North",28.6,
IF(B355="South",13,
IF(B355="East",22.6,
IF(B355="West",19,
23.5))))</f>
        <v>28.6</v>
      </c>
      <c r="L355" s="1">
        <f>IF(B355="North",77.2,
IF(B355="South",80.2,
IF(B355="East",88.4,
IF(B355="West",72.8,
78.9))))</f>
        <v>77.2</v>
      </c>
    </row>
    <row r="356" spans="1:12" x14ac:dyDescent="0.25">
      <c r="A356" s="5">
        <v>45572</v>
      </c>
      <c r="B356" s="1" t="s">
        <v>10</v>
      </c>
      <c r="C356" s="1" t="s">
        <v>23</v>
      </c>
      <c r="D356" s="1" t="s">
        <v>29</v>
      </c>
      <c r="E356" s="10">
        <v>2</v>
      </c>
      <c r="F356" s="10">
        <v>609</v>
      </c>
      <c r="G356" s="1" t="s">
        <v>34</v>
      </c>
      <c r="H356" s="10">
        <f t="shared" si="10"/>
        <v>1218</v>
      </c>
      <c r="I356" s="7">
        <v>962.57227380412883</v>
      </c>
      <c r="J356" s="7">
        <f t="shared" si="11"/>
        <v>255.42772619587117</v>
      </c>
      <c r="K356" s="1">
        <f>IF(B356="North",28.6,
IF(B356="South",13,
IF(B356="East",22.6,
IF(B356="West",19,
23.5))))</f>
        <v>28.6</v>
      </c>
      <c r="L356" s="1">
        <f>IF(B356="North",77.2,
IF(B356="South",80.2,
IF(B356="East",88.4,
IF(B356="West",72.8,
78.9))))</f>
        <v>77.2</v>
      </c>
    </row>
    <row r="357" spans="1:12" x14ac:dyDescent="0.25">
      <c r="A357" s="5">
        <v>45514</v>
      </c>
      <c r="B357" s="1" t="s">
        <v>10</v>
      </c>
      <c r="C357" s="1" t="s">
        <v>18</v>
      </c>
      <c r="D357" s="1" t="s">
        <v>30</v>
      </c>
      <c r="E357" s="10">
        <v>6</v>
      </c>
      <c r="F357" s="10">
        <v>1675</v>
      </c>
      <c r="G357" s="1" t="s">
        <v>34</v>
      </c>
      <c r="H357" s="10">
        <f t="shared" si="10"/>
        <v>10050</v>
      </c>
      <c r="I357" s="7">
        <v>8466.4184261879382</v>
      </c>
      <c r="J357" s="7">
        <f t="shared" si="11"/>
        <v>1583.5815738120618</v>
      </c>
      <c r="K357" s="1">
        <f>IF(B357="North",28.6,
IF(B357="South",13,
IF(B357="East",22.6,
IF(B357="West",19,
23.5))))</f>
        <v>28.6</v>
      </c>
      <c r="L357" s="1">
        <f>IF(B357="North",77.2,
IF(B357="South",80.2,
IF(B357="East",88.4,
IF(B357="West",72.8,
78.9))))</f>
        <v>77.2</v>
      </c>
    </row>
    <row r="358" spans="1:12" x14ac:dyDescent="0.25">
      <c r="A358" s="5">
        <v>45345</v>
      </c>
      <c r="B358" s="1" t="s">
        <v>13</v>
      </c>
      <c r="C358" s="1" t="s">
        <v>21</v>
      </c>
      <c r="D358" s="1" t="s">
        <v>28</v>
      </c>
      <c r="E358" s="10">
        <v>17</v>
      </c>
      <c r="F358" s="10">
        <v>1923</v>
      </c>
      <c r="G358" s="1" t="s">
        <v>35</v>
      </c>
      <c r="H358" s="10">
        <f t="shared" si="10"/>
        <v>32691</v>
      </c>
      <c r="I358" s="7">
        <v>27809.331653089441</v>
      </c>
      <c r="J358" s="7">
        <f t="shared" si="11"/>
        <v>4881.6683469105592</v>
      </c>
      <c r="K358" s="1">
        <f>IF(B358="North",28.6,
IF(B358="South",13,
IF(B358="East",22.6,
IF(B358="West",19,
23.5))))</f>
        <v>13</v>
      </c>
      <c r="L358" s="1">
        <f>IF(B358="North",77.2,
IF(B358="South",80.2,
IF(B358="East",88.4,
IF(B358="West",72.8,
78.9))))</f>
        <v>80.2</v>
      </c>
    </row>
    <row r="359" spans="1:12" x14ac:dyDescent="0.25">
      <c r="A359" s="5">
        <v>45349</v>
      </c>
      <c r="B359" s="1" t="s">
        <v>10</v>
      </c>
      <c r="C359" s="1" t="s">
        <v>19</v>
      </c>
      <c r="D359" s="1" t="s">
        <v>25</v>
      </c>
      <c r="E359" s="10">
        <v>7</v>
      </c>
      <c r="F359" s="10">
        <v>808</v>
      </c>
      <c r="G359" s="1" t="s">
        <v>35</v>
      </c>
      <c r="H359" s="10">
        <f t="shared" si="10"/>
        <v>5656</v>
      </c>
      <c r="I359" s="7">
        <v>4374.1928393972184</v>
      </c>
      <c r="J359" s="7">
        <f t="shared" si="11"/>
        <v>1281.8071606027816</v>
      </c>
      <c r="K359" s="1">
        <f>IF(B359="North",28.6,
IF(B359="South",13,
IF(B359="East",22.6,
IF(B359="West",19,
23.5))))</f>
        <v>28.6</v>
      </c>
      <c r="L359" s="1">
        <f>IF(B359="North",77.2,
IF(B359="South",80.2,
IF(B359="East",88.4,
IF(B359="West",72.8,
78.9))))</f>
        <v>77.2</v>
      </c>
    </row>
    <row r="360" spans="1:12" x14ac:dyDescent="0.25">
      <c r="A360" s="5">
        <v>45614</v>
      </c>
      <c r="B360" s="1" t="s">
        <v>13</v>
      </c>
      <c r="C360" s="1" t="s">
        <v>19</v>
      </c>
      <c r="D360" s="1" t="s">
        <v>27</v>
      </c>
      <c r="E360" s="10">
        <v>5</v>
      </c>
      <c r="F360" s="10">
        <v>884</v>
      </c>
      <c r="G360" s="1" t="s">
        <v>35</v>
      </c>
      <c r="H360" s="10">
        <f t="shared" si="10"/>
        <v>4420</v>
      </c>
      <c r="I360" s="7">
        <v>2675.19909596666</v>
      </c>
      <c r="J360" s="7">
        <f t="shared" si="11"/>
        <v>1744.80090403334</v>
      </c>
      <c r="K360" s="1">
        <f>IF(B360="North",28.6,
IF(B360="South",13,
IF(B360="East",22.6,
IF(B360="West",19,
23.5))))</f>
        <v>13</v>
      </c>
      <c r="L360" s="1">
        <f>IF(B360="North",77.2,
IF(B360="South",80.2,
IF(B360="East",88.4,
IF(B360="West",72.8,
78.9))))</f>
        <v>80.2</v>
      </c>
    </row>
    <row r="361" spans="1:12" x14ac:dyDescent="0.25">
      <c r="A361" s="5">
        <v>45651</v>
      </c>
      <c r="B361" s="1" t="s">
        <v>11</v>
      </c>
      <c r="C361" s="1" t="s">
        <v>20</v>
      </c>
      <c r="D361" s="1" t="s">
        <v>25</v>
      </c>
      <c r="E361" s="10">
        <v>5</v>
      </c>
      <c r="F361" s="10">
        <v>993</v>
      </c>
      <c r="G361" s="1" t="s">
        <v>33</v>
      </c>
      <c r="H361" s="10">
        <f t="shared" si="10"/>
        <v>4965</v>
      </c>
      <c r="I361" s="7">
        <v>4429.3453669953642</v>
      </c>
      <c r="J361" s="7">
        <f t="shared" si="11"/>
        <v>535.6546330046358</v>
      </c>
      <c r="K361" s="1">
        <f>IF(B361="North",28.6,
IF(B361="South",13,
IF(B361="East",22.6,
IF(B361="West",19,
23.5))))</f>
        <v>19</v>
      </c>
      <c r="L361" s="1">
        <f>IF(B361="North",77.2,
IF(B361="South",80.2,
IF(B361="East",88.4,
IF(B361="West",72.8,
78.9))))</f>
        <v>72.8</v>
      </c>
    </row>
    <row r="362" spans="1:12" x14ac:dyDescent="0.25">
      <c r="A362" s="5">
        <v>45465</v>
      </c>
      <c r="B362" s="1" t="s">
        <v>12</v>
      </c>
      <c r="C362" s="1" t="s">
        <v>18</v>
      </c>
      <c r="D362" s="1" t="s">
        <v>29</v>
      </c>
      <c r="E362" s="10">
        <v>16</v>
      </c>
      <c r="F362" s="10">
        <v>875</v>
      </c>
      <c r="G362" s="1" t="s">
        <v>34</v>
      </c>
      <c r="H362" s="10">
        <f t="shared" si="10"/>
        <v>14000</v>
      </c>
      <c r="I362" s="7">
        <v>10383.226151584109</v>
      </c>
      <c r="J362" s="7">
        <f t="shared" si="11"/>
        <v>3616.7738484158908</v>
      </c>
      <c r="K362" s="1">
        <f>IF(B362="North",28.6,
IF(B362="South",13,
IF(B362="East",22.6,
IF(B362="West",19,
23.5))))</f>
        <v>22.6</v>
      </c>
      <c r="L362" s="1">
        <f>IF(B362="North",77.2,
IF(B362="South",80.2,
IF(B362="East",88.4,
IF(B362="West",72.8,
78.9))))</f>
        <v>88.4</v>
      </c>
    </row>
    <row r="363" spans="1:12" x14ac:dyDescent="0.25">
      <c r="A363" s="5">
        <v>45571</v>
      </c>
      <c r="B363" s="1" t="s">
        <v>12</v>
      </c>
      <c r="C363" s="1" t="s">
        <v>21</v>
      </c>
      <c r="D363" s="1" t="s">
        <v>29</v>
      </c>
      <c r="E363" s="10">
        <v>19</v>
      </c>
      <c r="F363" s="10">
        <v>1692</v>
      </c>
      <c r="G363" s="1" t="s">
        <v>35</v>
      </c>
      <c r="H363" s="10">
        <f t="shared" si="10"/>
        <v>32148</v>
      </c>
      <c r="I363" s="7">
        <v>23084.796252376691</v>
      </c>
      <c r="J363" s="7">
        <f t="shared" si="11"/>
        <v>9063.203747623309</v>
      </c>
      <c r="K363" s="1">
        <f>IF(B363="North",28.6,
IF(B363="South",13,
IF(B363="East",22.6,
IF(B363="West",19,
23.5))))</f>
        <v>22.6</v>
      </c>
      <c r="L363" s="1">
        <f>IF(B363="North",77.2,
IF(B363="South",80.2,
IF(B363="East",88.4,
IF(B363="West",72.8,
78.9))))</f>
        <v>88.4</v>
      </c>
    </row>
    <row r="364" spans="1:12" x14ac:dyDescent="0.25">
      <c r="A364" s="5">
        <v>45405</v>
      </c>
      <c r="B364" s="1" t="s">
        <v>10</v>
      </c>
      <c r="C364" s="1" t="s">
        <v>20</v>
      </c>
      <c r="D364" s="1" t="s">
        <v>31</v>
      </c>
      <c r="E364" s="10">
        <v>9</v>
      </c>
      <c r="F364" s="10">
        <v>1073.5</v>
      </c>
      <c r="G364" s="1" t="s">
        <v>33</v>
      </c>
      <c r="H364" s="10">
        <f t="shared" si="10"/>
        <v>9661.5</v>
      </c>
      <c r="I364" s="7">
        <f>H364*0.7</f>
        <v>6763.0499999999993</v>
      </c>
      <c r="J364" s="7">
        <f t="shared" si="11"/>
        <v>2898.4500000000007</v>
      </c>
      <c r="K364" s="1">
        <f>IF(B364="North",28.6,
IF(B364="South",13,
IF(B364="East",22.6,
IF(B364="West",19,
23.5))))</f>
        <v>28.6</v>
      </c>
      <c r="L364" s="1">
        <f>IF(B364="North",77.2,
IF(B364="South",80.2,
IF(B364="East",88.4,
IF(B364="West",72.8,
78.9))))</f>
        <v>77.2</v>
      </c>
    </row>
    <row r="365" spans="1:12" x14ac:dyDescent="0.25">
      <c r="A365" s="5">
        <v>45579</v>
      </c>
      <c r="B365" s="1" t="s">
        <v>13</v>
      </c>
      <c r="C365" s="1" t="s">
        <v>40</v>
      </c>
      <c r="D365" s="1" t="s">
        <v>28</v>
      </c>
      <c r="E365" s="10">
        <v>5</v>
      </c>
      <c r="F365" s="10">
        <v>1733</v>
      </c>
      <c r="G365" s="1" t="s">
        <v>33</v>
      </c>
      <c r="H365" s="10">
        <f t="shared" si="10"/>
        <v>8665</v>
      </c>
      <c r="I365" s="7">
        <v>6301.580212711463</v>
      </c>
      <c r="J365" s="7">
        <f t="shared" si="11"/>
        <v>2363.419787288537</v>
      </c>
      <c r="K365" s="1">
        <f>IF(B365="North",28.6,
IF(B365="South",13,
IF(B365="East",22.6,
IF(B365="West",19,
23.5))))</f>
        <v>13</v>
      </c>
      <c r="L365" s="1">
        <f>IF(B365="North",77.2,
IF(B365="South",80.2,
IF(B365="East",88.4,
IF(B365="West",72.8,
78.9))))</f>
        <v>80.2</v>
      </c>
    </row>
    <row r="366" spans="1:12" x14ac:dyDescent="0.25">
      <c r="A366" s="5">
        <v>45633</v>
      </c>
      <c r="B366" s="1" t="s">
        <v>12</v>
      </c>
      <c r="C366" s="1" t="s">
        <v>18</v>
      </c>
      <c r="D366" s="1" t="s">
        <v>30</v>
      </c>
      <c r="E366" s="10">
        <v>8</v>
      </c>
      <c r="F366" s="10">
        <v>236</v>
      </c>
      <c r="G366" s="1" t="s">
        <v>34</v>
      </c>
      <c r="H366" s="10">
        <f t="shared" si="10"/>
        <v>1888</v>
      </c>
      <c r="I366" s="7">
        <v>1269.9711587730469</v>
      </c>
      <c r="J366" s="7">
        <f t="shared" si="11"/>
        <v>618.02884122695309</v>
      </c>
      <c r="K366" s="1">
        <f>IF(B366="North",28.6,
IF(B366="South",13,
IF(B366="East",22.6,
IF(B366="West",19,
23.5))))</f>
        <v>22.6</v>
      </c>
      <c r="L366" s="1">
        <f>IF(B366="North",77.2,
IF(B366="South",80.2,
IF(B366="East",88.4,
IF(B366="West",72.8,
78.9))))</f>
        <v>88.4</v>
      </c>
    </row>
    <row r="367" spans="1:12" x14ac:dyDescent="0.25">
      <c r="A367" s="5">
        <v>45442</v>
      </c>
      <c r="B367" s="1" t="s">
        <v>13</v>
      </c>
      <c r="C367" s="1" t="s">
        <v>19</v>
      </c>
      <c r="D367" s="1" t="s">
        <v>25</v>
      </c>
      <c r="E367" s="10">
        <v>9</v>
      </c>
      <c r="F367" s="10">
        <v>475</v>
      </c>
      <c r="G367" s="1" t="s">
        <v>35</v>
      </c>
      <c r="H367" s="10">
        <f t="shared" si="10"/>
        <v>4275</v>
      </c>
      <c r="I367" s="7">
        <v>2984.805375024157</v>
      </c>
      <c r="J367" s="7">
        <f t="shared" si="11"/>
        <v>1290.194624975843</v>
      </c>
      <c r="K367" s="1">
        <f>IF(B367="North",28.6,
IF(B367="South",13,
IF(B367="East",22.6,
IF(B367="West",19,
23.5))))</f>
        <v>13</v>
      </c>
      <c r="L367" s="1">
        <f>IF(B367="North",77.2,
IF(B367="South",80.2,
IF(B367="East",88.4,
IF(B367="West",72.8,
78.9))))</f>
        <v>80.2</v>
      </c>
    </row>
    <row r="368" spans="1:12" x14ac:dyDescent="0.25">
      <c r="A368" s="5">
        <v>45418</v>
      </c>
      <c r="B368" s="1" t="s">
        <v>13</v>
      </c>
      <c r="C368" s="1" t="s">
        <v>21</v>
      </c>
      <c r="D368" s="1" t="s">
        <v>32</v>
      </c>
      <c r="E368" s="10">
        <v>5</v>
      </c>
      <c r="F368" s="10">
        <v>186</v>
      </c>
      <c r="G368" s="1" t="s">
        <v>35</v>
      </c>
      <c r="H368" s="10">
        <f t="shared" si="10"/>
        <v>930</v>
      </c>
      <c r="I368" s="7">
        <v>832.91477312715222</v>
      </c>
      <c r="J368" s="7">
        <f t="shared" si="11"/>
        <v>97.085226872847784</v>
      </c>
      <c r="K368" s="1">
        <f>IF(B368="North",28.6,
IF(B368="South",13,
IF(B368="East",22.6,
IF(B368="West",19,
23.5))))</f>
        <v>13</v>
      </c>
      <c r="L368" s="1">
        <f>IF(B368="North",77.2,
IF(B368="South",80.2,
IF(B368="East",88.4,
IF(B368="West",72.8,
78.9))))</f>
        <v>80.2</v>
      </c>
    </row>
    <row r="369" spans="1:12" x14ac:dyDescent="0.25">
      <c r="A369" s="5">
        <v>45446</v>
      </c>
      <c r="B369" s="1" t="s">
        <v>10</v>
      </c>
      <c r="C369" s="1" t="s">
        <v>19</v>
      </c>
      <c r="D369" s="1" t="s">
        <v>25</v>
      </c>
      <c r="E369" s="10">
        <v>10</v>
      </c>
      <c r="F369" s="10">
        <v>1542</v>
      </c>
      <c r="G369" s="1" t="s">
        <v>35</v>
      </c>
      <c r="H369" s="10">
        <f t="shared" si="10"/>
        <v>15420</v>
      </c>
      <c r="I369" s="7">
        <v>10955.145169184691</v>
      </c>
      <c r="J369" s="7">
        <f t="shared" si="11"/>
        <v>4464.8548308153095</v>
      </c>
      <c r="K369" s="1">
        <f>IF(B369="North",28.6,
IF(B369="South",13,
IF(B369="East",22.6,
IF(B369="West",19,
23.5))))</f>
        <v>28.6</v>
      </c>
      <c r="L369" s="1">
        <f>IF(B369="North",77.2,
IF(B369="South",80.2,
IF(B369="East",88.4,
IF(B369="West",72.8,
78.9))))</f>
        <v>77.2</v>
      </c>
    </row>
    <row r="370" spans="1:12" x14ac:dyDescent="0.25">
      <c r="A370" s="5">
        <v>45564</v>
      </c>
      <c r="B370" s="1" t="s">
        <v>12</v>
      </c>
      <c r="C370" s="1" t="s">
        <v>20</v>
      </c>
      <c r="D370" s="1" t="s">
        <v>26</v>
      </c>
      <c r="E370" s="10">
        <v>2</v>
      </c>
      <c r="F370" s="10">
        <v>1877</v>
      </c>
      <c r="G370" s="1" t="s">
        <v>33</v>
      </c>
      <c r="H370" s="10">
        <f t="shared" si="10"/>
        <v>3754</v>
      </c>
      <c r="I370" s="7">
        <v>2845.597713552781</v>
      </c>
      <c r="J370" s="7">
        <f t="shared" si="11"/>
        <v>908.40228644721901</v>
      </c>
      <c r="K370" s="1">
        <f>IF(B370="North",28.6,
IF(B370="South",13,
IF(B370="East",22.6,
IF(B370="West",19,
23.5))))</f>
        <v>22.6</v>
      </c>
      <c r="L370" s="1">
        <f>IF(B370="North",77.2,
IF(B370="South",80.2,
IF(B370="East",88.4,
IF(B370="West",72.8,
78.9))))</f>
        <v>88.4</v>
      </c>
    </row>
    <row r="371" spans="1:12" x14ac:dyDescent="0.25">
      <c r="A371" s="5">
        <v>45395</v>
      </c>
      <c r="B371" s="1" t="s">
        <v>10</v>
      </c>
      <c r="C371" s="1" t="s">
        <v>21</v>
      </c>
      <c r="D371" s="1" t="s">
        <v>26</v>
      </c>
      <c r="E371" s="10">
        <v>9</v>
      </c>
      <c r="F371" s="10">
        <v>1322</v>
      </c>
      <c r="G371" s="1" t="s">
        <v>35</v>
      </c>
      <c r="H371" s="10">
        <f t="shared" si="10"/>
        <v>11898</v>
      </c>
      <c r="I371" s="7">
        <v>10166.701552971939</v>
      </c>
      <c r="J371" s="7">
        <f t="shared" si="11"/>
        <v>1731.2984470280608</v>
      </c>
      <c r="K371" s="1">
        <f>IF(B371="North",28.6,
IF(B371="South",13,
IF(B371="East",22.6,
IF(B371="West",19,
23.5))))</f>
        <v>28.6</v>
      </c>
      <c r="L371" s="1">
        <f>IF(B371="North",77.2,
IF(B371="South",80.2,
IF(B371="East",88.4,
IF(B371="West",72.8,
78.9))))</f>
        <v>77.2</v>
      </c>
    </row>
    <row r="372" spans="1:12" x14ac:dyDescent="0.25">
      <c r="A372" s="5">
        <v>45590</v>
      </c>
      <c r="B372" s="1" t="s">
        <v>10</v>
      </c>
      <c r="C372" s="1" t="s">
        <v>20</v>
      </c>
      <c r="D372" s="1" t="s">
        <v>30</v>
      </c>
      <c r="E372" s="10">
        <v>11</v>
      </c>
      <c r="F372" s="10">
        <v>1586</v>
      </c>
      <c r="G372" s="1" t="s">
        <v>33</v>
      </c>
      <c r="H372" s="10">
        <f t="shared" si="10"/>
        <v>17446</v>
      </c>
      <c r="I372" s="7">
        <v>13228.05167778157</v>
      </c>
      <c r="J372" s="7">
        <f t="shared" si="11"/>
        <v>4217.9483222184299</v>
      </c>
      <c r="K372" s="1">
        <f>IF(B372="North",28.6,
IF(B372="South",13,
IF(B372="East",22.6,
IF(B372="West",19,
23.5))))</f>
        <v>28.6</v>
      </c>
      <c r="L372" s="1">
        <f>IF(B372="North",77.2,
IF(B372="South",80.2,
IF(B372="East",88.4,
IF(B372="West",72.8,
78.9))))</f>
        <v>77.2</v>
      </c>
    </row>
    <row r="373" spans="1:12" x14ac:dyDescent="0.25">
      <c r="A373" s="5">
        <v>45537</v>
      </c>
      <c r="B373" s="1" t="s">
        <v>12</v>
      </c>
      <c r="C373" s="1" t="s">
        <v>17</v>
      </c>
      <c r="D373" s="1" t="s">
        <v>30</v>
      </c>
      <c r="E373" s="10">
        <v>4</v>
      </c>
      <c r="F373" s="10">
        <v>536</v>
      </c>
      <c r="G373" s="1" t="s">
        <v>33</v>
      </c>
      <c r="H373" s="10">
        <f t="shared" si="10"/>
        <v>2144</v>
      </c>
      <c r="I373" s="7">
        <v>1495.088440784805</v>
      </c>
      <c r="J373" s="7">
        <f t="shared" si="11"/>
        <v>648.91155921519498</v>
      </c>
      <c r="K373" s="1">
        <f>IF(B373="North",28.6,
IF(B373="South",13,
IF(B373="East",22.6,
IF(B373="West",19,
23.5))))</f>
        <v>22.6</v>
      </c>
      <c r="L373" s="1">
        <f>IF(B373="North",77.2,
IF(B373="South",80.2,
IF(B373="East",88.4,
IF(B373="West",72.8,
78.9))))</f>
        <v>88.4</v>
      </c>
    </row>
    <row r="374" spans="1:12" x14ac:dyDescent="0.25">
      <c r="A374" s="5">
        <v>45467</v>
      </c>
      <c r="B374" s="1" t="s">
        <v>12</v>
      </c>
      <c r="C374" s="1" t="s">
        <v>18</v>
      </c>
      <c r="D374" s="1" t="s">
        <v>26</v>
      </c>
      <c r="E374" s="10">
        <v>2</v>
      </c>
      <c r="F374" s="10">
        <v>1433</v>
      </c>
      <c r="G374" s="1" t="s">
        <v>34</v>
      </c>
      <c r="H374" s="10">
        <f t="shared" si="10"/>
        <v>2866</v>
      </c>
      <c r="I374" s="7">
        <v>2169.9210899545519</v>
      </c>
      <c r="J374" s="7">
        <f t="shared" si="11"/>
        <v>696.07891004544808</v>
      </c>
      <c r="K374" s="1">
        <f>IF(B374="North",28.6,
IF(B374="South",13,
IF(B374="East",22.6,
IF(B374="West",19,
23.5))))</f>
        <v>22.6</v>
      </c>
      <c r="L374" s="1">
        <f>IF(B374="North",77.2,
IF(B374="South",80.2,
IF(B374="East",88.4,
IF(B374="West",72.8,
78.9))))</f>
        <v>88.4</v>
      </c>
    </row>
    <row r="375" spans="1:12" x14ac:dyDescent="0.25">
      <c r="A375" s="5">
        <v>45330</v>
      </c>
      <c r="B375" s="1" t="s">
        <v>11</v>
      </c>
      <c r="C375" s="1" t="s">
        <v>23</v>
      </c>
      <c r="D375" s="1" t="s">
        <v>32</v>
      </c>
      <c r="E375" s="10">
        <v>6</v>
      </c>
      <c r="F375" s="10">
        <v>1719</v>
      </c>
      <c r="G375" s="1" t="s">
        <v>34</v>
      </c>
      <c r="H375" s="10">
        <f t="shared" si="10"/>
        <v>10314</v>
      </c>
      <c r="I375" s="7">
        <v>6541.4058617606543</v>
      </c>
      <c r="J375" s="7">
        <f t="shared" si="11"/>
        <v>3772.5941382393457</v>
      </c>
      <c r="K375" s="1">
        <f>IF(B375="North",28.6,
IF(B375="South",13,
IF(B375="East",22.6,
IF(B375="West",19,
23.5))))</f>
        <v>19</v>
      </c>
      <c r="L375" s="1">
        <f>IF(B375="North",77.2,
IF(B375="South",80.2,
IF(B375="East",88.4,
IF(B375="West",72.8,
78.9))))</f>
        <v>72.8</v>
      </c>
    </row>
    <row r="376" spans="1:12" x14ac:dyDescent="0.25">
      <c r="A376" s="5">
        <v>45461</v>
      </c>
      <c r="B376" s="1" t="s">
        <v>11</v>
      </c>
      <c r="C376" s="1" t="s">
        <v>21</v>
      </c>
      <c r="D376" s="1" t="s">
        <v>28</v>
      </c>
      <c r="E376" s="10">
        <v>14</v>
      </c>
      <c r="F376" s="10">
        <v>1877</v>
      </c>
      <c r="G376" s="1" t="s">
        <v>35</v>
      </c>
      <c r="H376" s="10">
        <f t="shared" si="10"/>
        <v>26278</v>
      </c>
      <c r="I376" s="7">
        <v>16791.696830882021</v>
      </c>
      <c r="J376" s="7">
        <f t="shared" si="11"/>
        <v>9486.3031691179785</v>
      </c>
      <c r="K376" s="1">
        <f>IF(B376="North",28.6,
IF(B376="South",13,
IF(B376="East",22.6,
IF(B376="West",19,
23.5))))</f>
        <v>19</v>
      </c>
      <c r="L376" s="1">
        <f>IF(B376="North",77.2,
IF(B376="South",80.2,
IF(B376="East",88.4,
IF(B376="West",72.8,
78.9))))</f>
        <v>72.8</v>
      </c>
    </row>
    <row r="377" spans="1:12" x14ac:dyDescent="0.25">
      <c r="A377" s="5">
        <v>45538</v>
      </c>
      <c r="B377" s="1" t="s">
        <v>13</v>
      </c>
      <c r="C377" s="1" t="s">
        <v>21</v>
      </c>
      <c r="D377" s="1" t="s">
        <v>26</v>
      </c>
      <c r="E377" s="10">
        <v>1</v>
      </c>
      <c r="F377" s="10">
        <v>1404</v>
      </c>
      <c r="G377" s="1" t="s">
        <v>35</v>
      </c>
      <c r="H377" s="10">
        <f t="shared" si="10"/>
        <v>1404</v>
      </c>
      <c r="I377" s="7">
        <v>1134.7580925755581</v>
      </c>
      <c r="J377" s="7">
        <f t="shared" si="11"/>
        <v>269.24190742444193</v>
      </c>
      <c r="K377" s="1">
        <f>IF(B377="North",28.6,
IF(B377="South",13,
IF(B377="East",22.6,
IF(B377="West",19,
23.5))))</f>
        <v>13</v>
      </c>
      <c r="L377" s="1">
        <f>IF(B377="North",77.2,
IF(B377="South",80.2,
IF(B377="East",88.4,
IF(B377="West",72.8,
78.9))))</f>
        <v>80.2</v>
      </c>
    </row>
    <row r="378" spans="1:12" x14ac:dyDescent="0.25">
      <c r="A378" s="5">
        <v>45317</v>
      </c>
      <c r="B378" s="1" t="s">
        <v>12</v>
      </c>
      <c r="C378" s="1" t="s">
        <v>23</v>
      </c>
      <c r="D378" s="1" t="s">
        <v>30</v>
      </c>
      <c r="E378" s="10">
        <v>18</v>
      </c>
      <c r="F378" s="10">
        <v>1446</v>
      </c>
      <c r="G378" s="1" t="s">
        <v>34</v>
      </c>
      <c r="H378" s="10">
        <f t="shared" si="10"/>
        <v>26028</v>
      </c>
      <c r="I378" s="7">
        <v>22780.699796147001</v>
      </c>
      <c r="J378" s="7">
        <f t="shared" si="11"/>
        <v>3247.3002038529994</v>
      </c>
      <c r="K378" s="1">
        <f>IF(B378="North",28.6,
IF(B378="South",13,
IF(B378="East",22.6,
IF(B378="West",19,
23.5))))</f>
        <v>22.6</v>
      </c>
      <c r="L378" s="1">
        <f>IF(B378="North",77.2,
IF(B378="South",80.2,
IF(B378="East",88.4,
IF(B378="West",72.8,
78.9))))</f>
        <v>88.4</v>
      </c>
    </row>
    <row r="379" spans="1:12" x14ac:dyDescent="0.25">
      <c r="A379" s="5">
        <v>45646</v>
      </c>
      <c r="B379" s="1" t="s">
        <v>11</v>
      </c>
      <c r="C379" s="1" t="s">
        <v>20</v>
      </c>
      <c r="D379" s="1" t="s">
        <v>31</v>
      </c>
      <c r="E379" s="10">
        <v>7</v>
      </c>
      <c r="F379" s="10">
        <v>863</v>
      </c>
      <c r="G379" s="1" t="s">
        <v>33</v>
      </c>
      <c r="H379" s="10">
        <f t="shared" si="10"/>
        <v>6041</v>
      </c>
      <c r="I379" s="7">
        <v>4939.7464813212418</v>
      </c>
      <c r="J379" s="7">
        <f t="shared" si="11"/>
        <v>1101.2535186787582</v>
      </c>
      <c r="K379" s="1">
        <f>IF(B379="North",28.6,
IF(B379="South",13,
IF(B379="East",22.6,
IF(B379="West",19,
23.5))))</f>
        <v>19</v>
      </c>
      <c r="L379" s="1">
        <f>IF(B379="North",77.2,
IF(B379="South",80.2,
IF(B379="East",88.4,
IF(B379="West",72.8,
78.9))))</f>
        <v>72.8</v>
      </c>
    </row>
    <row r="380" spans="1:12" x14ac:dyDescent="0.25">
      <c r="A380" s="5">
        <v>45597</v>
      </c>
      <c r="B380" s="1" t="s">
        <v>13</v>
      </c>
      <c r="C380" s="1" t="s">
        <v>17</v>
      </c>
      <c r="D380" s="1" t="s">
        <v>27</v>
      </c>
      <c r="E380" s="10">
        <v>1</v>
      </c>
      <c r="F380" s="10">
        <v>801</v>
      </c>
      <c r="G380" s="1" t="s">
        <v>33</v>
      </c>
      <c r="H380" s="10">
        <f t="shared" si="10"/>
        <v>801</v>
      </c>
      <c r="I380" s="7">
        <v>498.52956172996289</v>
      </c>
      <c r="J380" s="7">
        <f t="shared" si="11"/>
        <v>302.47043827003711</v>
      </c>
      <c r="K380" s="1">
        <f>IF(B380="North",28.6,
IF(B380="South",13,
IF(B380="East",22.6,
IF(B380="West",19,
23.5))))</f>
        <v>13</v>
      </c>
      <c r="L380" s="1">
        <f>IF(B380="North",77.2,
IF(B380="South",80.2,
IF(B380="East",88.4,
IF(B380="West",72.8,
78.9))))</f>
        <v>80.2</v>
      </c>
    </row>
    <row r="381" spans="1:12" x14ac:dyDescent="0.25">
      <c r="A381" s="5">
        <v>45304</v>
      </c>
      <c r="B381" s="1" t="s">
        <v>13</v>
      </c>
      <c r="C381" s="1" t="s">
        <v>24</v>
      </c>
      <c r="D381" s="1" t="s">
        <v>32</v>
      </c>
      <c r="E381" s="10">
        <v>1</v>
      </c>
      <c r="F381" s="10">
        <v>1041</v>
      </c>
      <c r="G381" s="1" t="s">
        <v>35</v>
      </c>
      <c r="H381" s="10">
        <f t="shared" si="10"/>
        <v>1041</v>
      </c>
      <c r="I381" s="7">
        <v>750.42429932498305</v>
      </c>
      <c r="J381" s="7">
        <f t="shared" si="11"/>
        <v>290.57570067501695</v>
      </c>
      <c r="K381" s="1">
        <f>IF(B381="North",28.6,
IF(B381="South",13,
IF(B381="East",22.6,
IF(B381="West",19,
23.5))))</f>
        <v>13</v>
      </c>
      <c r="L381" s="1">
        <f>IF(B381="North",77.2,
IF(B381="South",80.2,
IF(B381="East",88.4,
IF(B381="West",72.8,
78.9))))</f>
        <v>80.2</v>
      </c>
    </row>
    <row r="382" spans="1:12" x14ac:dyDescent="0.25">
      <c r="A382" s="5">
        <v>45607</v>
      </c>
      <c r="B382" s="1" t="s">
        <v>13</v>
      </c>
      <c r="C382" s="1" t="s">
        <v>23</v>
      </c>
      <c r="D382" s="1" t="s">
        <v>29</v>
      </c>
      <c r="E382" s="10">
        <v>1</v>
      </c>
      <c r="F382" s="10">
        <v>251</v>
      </c>
      <c r="G382" s="1" t="s">
        <v>34</v>
      </c>
      <c r="H382" s="10">
        <f t="shared" si="10"/>
        <v>251</v>
      </c>
      <c r="I382" s="7">
        <v>150.7922851965852</v>
      </c>
      <c r="J382" s="7">
        <f t="shared" si="11"/>
        <v>100.2077148034148</v>
      </c>
      <c r="K382" s="1">
        <f>IF(B382="North",28.6,
IF(B382="South",13,
IF(B382="East",22.6,
IF(B382="West",19,
23.5))))</f>
        <v>13</v>
      </c>
      <c r="L382" s="1">
        <f>IF(B382="North",77.2,
IF(B382="South",80.2,
IF(B382="East",88.4,
IF(B382="West",72.8,
78.9))))</f>
        <v>80.2</v>
      </c>
    </row>
    <row r="383" spans="1:12" x14ac:dyDescent="0.25">
      <c r="A383" s="5">
        <v>45604</v>
      </c>
      <c r="B383" s="1" t="s">
        <v>11</v>
      </c>
      <c r="C383" s="1" t="s">
        <v>18</v>
      </c>
      <c r="D383" s="1" t="s">
        <v>32</v>
      </c>
      <c r="E383" s="10">
        <v>4</v>
      </c>
      <c r="F383" s="10">
        <v>1425</v>
      </c>
      <c r="G383" s="1" t="s">
        <v>34</v>
      </c>
      <c r="H383" s="10">
        <f t="shared" si="10"/>
        <v>5700</v>
      </c>
      <c r="I383" s="7">
        <v>4294.1635310868323</v>
      </c>
      <c r="J383" s="7">
        <f t="shared" si="11"/>
        <v>1405.8364689131677</v>
      </c>
      <c r="K383" s="1">
        <f>IF(B383="North",28.6,
IF(B383="South",13,
IF(B383="East",22.6,
IF(B383="West",19,
23.5))))</f>
        <v>19</v>
      </c>
      <c r="L383" s="1">
        <f>IF(B383="North",77.2,
IF(B383="South",80.2,
IF(B383="East",88.4,
IF(B383="West",72.8,
78.9))))</f>
        <v>72.8</v>
      </c>
    </row>
    <row r="384" spans="1:12" x14ac:dyDescent="0.25">
      <c r="A384" s="5">
        <v>45327</v>
      </c>
      <c r="B384" s="1" t="s">
        <v>12</v>
      </c>
      <c r="C384" s="1" t="s">
        <v>19</v>
      </c>
      <c r="D384" s="1" t="s">
        <v>31</v>
      </c>
      <c r="E384" s="10">
        <v>4</v>
      </c>
      <c r="F384" s="10">
        <v>1401</v>
      </c>
      <c r="G384" s="1" t="s">
        <v>35</v>
      </c>
      <c r="H384" s="10">
        <f t="shared" si="10"/>
        <v>5604</v>
      </c>
      <c r="I384" s="7">
        <v>3687.2153799833691</v>
      </c>
      <c r="J384" s="7">
        <f t="shared" si="11"/>
        <v>1916.7846200166309</v>
      </c>
      <c r="K384" s="1">
        <f>IF(B384="North",28.6,
IF(B384="South",13,
IF(B384="East",22.6,
IF(B384="West",19,
23.5))))</f>
        <v>22.6</v>
      </c>
      <c r="L384" s="1">
        <f>IF(B384="North",77.2,
IF(B384="South",80.2,
IF(B384="East",88.4,
IF(B384="West",72.8,
78.9))))</f>
        <v>88.4</v>
      </c>
    </row>
    <row r="385" spans="1:12" x14ac:dyDescent="0.25">
      <c r="A385" s="5">
        <v>45464</v>
      </c>
      <c r="B385" s="1" t="s">
        <v>10</v>
      </c>
      <c r="C385" s="1" t="s">
        <v>17</v>
      </c>
      <c r="D385" s="1" t="s">
        <v>31</v>
      </c>
      <c r="E385" s="10">
        <v>18</v>
      </c>
      <c r="F385" s="10">
        <v>1774</v>
      </c>
      <c r="G385" s="1" t="s">
        <v>33</v>
      </c>
      <c r="H385" s="10">
        <f t="shared" si="10"/>
        <v>31932</v>
      </c>
      <c r="I385" s="7">
        <v>27475.69763616104</v>
      </c>
      <c r="J385" s="7">
        <f t="shared" si="11"/>
        <v>4456.3023638389604</v>
      </c>
      <c r="K385" s="1">
        <f>IF(B385="North",28.6,
IF(B385="South",13,
IF(B385="East",22.6,
IF(B385="West",19,
23.5))))</f>
        <v>28.6</v>
      </c>
      <c r="L385" s="1">
        <f>IF(B385="North",77.2,
IF(B385="South",80.2,
IF(B385="East",88.4,
IF(B385="West",72.8,
78.9))))</f>
        <v>77.2</v>
      </c>
    </row>
    <row r="386" spans="1:12" x14ac:dyDescent="0.25">
      <c r="A386" s="5">
        <v>45311</v>
      </c>
      <c r="B386" s="1" t="s">
        <v>13</v>
      </c>
      <c r="C386" s="1" t="s">
        <v>23</v>
      </c>
      <c r="D386" s="1" t="s">
        <v>29</v>
      </c>
      <c r="E386" s="10">
        <v>11</v>
      </c>
      <c r="F386" s="10">
        <v>1811</v>
      </c>
      <c r="G386" s="1" t="s">
        <v>34</v>
      </c>
      <c r="H386" s="10">
        <f t="shared" si="10"/>
        <v>19921</v>
      </c>
      <c r="I386" s="7">
        <v>12576.1375764615</v>
      </c>
      <c r="J386" s="7">
        <f t="shared" si="11"/>
        <v>7344.8624235384996</v>
      </c>
      <c r="K386" s="1">
        <f>IF(B386="North",28.6,
IF(B386="South",13,
IF(B386="East",22.6,
IF(B386="West",19,
23.5))))</f>
        <v>13</v>
      </c>
      <c r="L386" s="1">
        <f>IF(B386="North",77.2,
IF(B386="South",80.2,
IF(B386="East",88.4,
IF(B386="West",72.8,
78.9))))</f>
        <v>80.2</v>
      </c>
    </row>
    <row r="387" spans="1:12" x14ac:dyDescent="0.25">
      <c r="A387" s="5">
        <v>45612</v>
      </c>
      <c r="B387" s="1" t="s">
        <v>11</v>
      </c>
      <c r="C387" s="1" t="s">
        <v>23</v>
      </c>
      <c r="D387" s="1" t="s">
        <v>25</v>
      </c>
      <c r="E387" s="10">
        <v>1</v>
      </c>
      <c r="F387" s="10">
        <v>1131</v>
      </c>
      <c r="G387" s="1" t="s">
        <v>34</v>
      </c>
      <c r="H387" s="10">
        <f t="shared" ref="H387:H450" si="12">E387*F387</f>
        <v>1131</v>
      </c>
      <c r="I387" s="7">
        <v>679.08635216093739</v>
      </c>
      <c r="J387" s="7">
        <f t="shared" ref="J387:J450" si="13">H387-I387</f>
        <v>451.91364783906261</v>
      </c>
      <c r="K387" s="1">
        <f>IF(B387="North",28.6,
IF(B387="South",13,
IF(B387="East",22.6,
IF(B387="West",19,
23.5))))</f>
        <v>19</v>
      </c>
      <c r="L387" s="1">
        <f>IF(B387="North",77.2,
IF(B387="South",80.2,
IF(B387="East",88.4,
IF(B387="West",72.8,
78.9))))</f>
        <v>72.8</v>
      </c>
    </row>
    <row r="388" spans="1:12" x14ac:dyDescent="0.25">
      <c r="A388" s="5">
        <v>45555</v>
      </c>
      <c r="B388" s="1" t="s">
        <v>11</v>
      </c>
      <c r="C388" s="1" t="s">
        <v>21</v>
      </c>
      <c r="D388" s="1" t="s">
        <v>30</v>
      </c>
      <c r="E388" s="10">
        <v>10</v>
      </c>
      <c r="F388" s="10">
        <v>906</v>
      </c>
      <c r="G388" s="1" t="s">
        <v>35</v>
      </c>
      <c r="H388" s="10">
        <f t="shared" si="12"/>
        <v>9060</v>
      </c>
      <c r="I388" s="7">
        <v>6662.2149451832001</v>
      </c>
      <c r="J388" s="7">
        <f t="shared" si="13"/>
        <v>2397.7850548167999</v>
      </c>
      <c r="K388" s="1">
        <f>IF(B388="North",28.6,
IF(B388="South",13,
IF(B388="East",22.6,
IF(B388="West",19,
23.5))))</f>
        <v>19</v>
      </c>
      <c r="L388" s="1">
        <f>IF(B388="North",77.2,
IF(B388="South",80.2,
IF(B388="East",88.4,
IF(B388="West",72.8,
78.9))))</f>
        <v>72.8</v>
      </c>
    </row>
    <row r="389" spans="1:12" x14ac:dyDescent="0.25">
      <c r="A389" s="5">
        <v>45433</v>
      </c>
      <c r="B389" s="1" t="s">
        <v>36</v>
      </c>
      <c r="C389" s="1" t="s">
        <v>40</v>
      </c>
      <c r="D389" s="1" t="s">
        <v>26</v>
      </c>
      <c r="E389" s="10">
        <v>9</v>
      </c>
      <c r="F389" s="10">
        <v>334</v>
      </c>
      <c r="G389" s="1" t="s">
        <v>35</v>
      </c>
      <c r="H389" s="10">
        <f t="shared" si="12"/>
        <v>3006</v>
      </c>
      <c r="I389" s="7">
        <v>1943.769753480231</v>
      </c>
      <c r="J389" s="7">
        <f t="shared" si="13"/>
        <v>1062.230246519769</v>
      </c>
      <c r="K389" s="1">
        <f>IF(B389="North",28.6,
IF(B389="South",13,
IF(B389="East",22.6,
IF(B389="West",19,
23.5))))</f>
        <v>23.5</v>
      </c>
      <c r="L389" s="1">
        <f>IF(B389="North",77.2,
IF(B389="South",80.2,
IF(B389="East",88.4,
IF(B389="West",72.8,
78.9))))</f>
        <v>78.900000000000006</v>
      </c>
    </row>
    <row r="390" spans="1:12" x14ac:dyDescent="0.25">
      <c r="A390" s="5">
        <v>45434</v>
      </c>
      <c r="B390" s="1" t="s">
        <v>10</v>
      </c>
      <c r="C390" s="1" t="s">
        <v>19</v>
      </c>
      <c r="D390" s="1" t="s">
        <v>25</v>
      </c>
      <c r="E390" s="10">
        <v>4</v>
      </c>
      <c r="F390" s="10">
        <v>774</v>
      </c>
      <c r="G390" s="1" t="s">
        <v>35</v>
      </c>
      <c r="H390" s="10">
        <f t="shared" si="12"/>
        <v>3096</v>
      </c>
      <c r="I390" s="7">
        <v>2543.0417518571699</v>
      </c>
      <c r="J390" s="7">
        <f t="shared" si="13"/>
        <v>552.95824814283014</v>
      </c>
      <c r="K390" s="1">
        <f>IF(B390="North",28.6,
IF(B390="South",13,
IF(B390="East",22.6,
IF(B390="West",19,
23.5))))</f>
        <v>28.6</v>
      </c>
      <c r="L390" s="1">
        <f>IF(B390="North",77.2,
IF(B390="South",80.2,
IF(B390="East",88.4,
IF(B390="West",72.8,
78.9))))</f>
        <v>77.2</v>
      </c>
    </row>
    <row r="391" spans="1:12" x14ac:dyDescent="0.25">
      <c r="A391" s="5">
        <v>45383</v>
      </c>
      <c r="B391" s="1" t="s">
        <v>11</v>
      </c>
      <c r="C391" s="1" t="s">
        <v>18</v>
      </c>
      <c r="D391" s="1" t="s">
        <v>28</v>
      </c>
      <c r="E391" s="10">
        <v>6</v>
      </c>
      <c r="F391" s="10">
        <v>660</v>
      </c>
      <c r="G391" s="1" t="s">
        <v>34</v>
      </c>
      <c r="H391" s="10">
        <f t="shared" si="12"/>
        <v>3960</v>
      </c>
      <c r="I391" s="7">
        <v>3468.882461356297</v>
      </c>
      <c r="J391" s="7">
        <f t="shared" si="13"/>
        <v>491.11753864370303</v>
      </c>
      <c r="K391" s="1">
        <f>IF(B391="North",28.6,
IF(B391="South",13,
IF(B391="East",22.6,
IF(B391="West",19,
23.5))))</f>
        <v>19</v>
      </c>
      <c r="L391" s="1">
        <f>IF(B391="North",77.2,
IF(B391="South",80.2,
IF(B391="East",88.4,
IF(B391="West",72.8,
78.9))))</f>
        <v>72.8</v>
      </c>
    </row>
    <row r="392" spans="1:12" x14ac:dyDescent="0.25">
      <c r="A392" s="5">
        <v>45645</v>
      </c>
      <c r="B392" s="1" t="s">
        <v>12</v>
      </c>
      <c r="C392" s="1" t="s">
        <v>19</v>
      </c>
      <c r="D392" s="1" t="s">
        <v>36</v>
      </c>
      <c r="E392" s="10">
        <v>16</v>
      </c>
      <c r="F392" s="10">
        <v>1425</v>
      </c>
      <c r="G392" s="1" t="s">
        <v>35</v>
      </c>
      <c r="H392" s="10">
        <f t="shared" si="12"/>
        <v>22800</v>
      </c>
      <c r="I392" s="7">
        <v>13966.856017829559</v>
      </c>
      <c r="J392" s="7">
        <f t="shared" si="13"/>
        <v>8833.1439821704407</v>
      </c>
      <c r="K392" s="1">
        <f>IF(B392="North",28.6,
IF(B392="South",13,
IF(B392="East",22.6,
IF(B392="West",19,
23.5))))</f>
        <v>22.6</v>
      </c>
      <c r="L392" s="1">
        <f>IF(B392="North",77.2,
IF(B392="South",80.2,
IF(B392="East",88.4,
IF(B392="West",72.8,
78.9))))</f>
        <v>88.4</v>
      </c>
    </row>
    <row r="393" spans="1:12" x14ac:dyDescent="0.25">
      <c r="A393" s="5">
        <v>45613</v>
      </c>
      <c r="B393" s="1" t="s">
        <v>10</v>
      </c>
      <c r="C393" s="1" t="s">
        <v>23</v>
      </c>
      <c r="D393" s="1" t="s">
        <v>29</v>
      </c>
      <c r="E393" s="10">
        <v>2</v>
      </c>
      <c r="F393" s="10">
        <v>137</v>
      </c>
      <c r="G393" s="1" t="s">
        <v>34</v>
      </c>
      <c r="H393" s="10">
        <f t="shared" si="12"/>
        <v>274</v>
      </c>
      <c r="I393" s="7">
        <v>196.91684959950311</v>
      </c>
      <c r="J393" s="7">
        <f t="shared" si="13"/>
        <v>77.083150400496891</v>
      </c>
      <c r="K393" s="1">
        <f>IF(B393="North",28.6,
IF(B393="South",13,
IF(B393="East",22.6,
IF(B393="West",19,
23.5))))</f>
        <v>28.6</v>
      </c>
      <c r="L393" s="1">
        <f>IF(B393="North",77.2,
IF(B393="South",80.2,
IF(B393="East",88.4,
IF(B393="West",72.8,
78.9))))</f>
        <v>77.2</v>
      </c>
    </row>
    <row r="394" spans="1:12" x14ac:dyDescent="0.25">
      <c r="A394" s="5">
        <v>45579</v>
      </c>
      <c r="B394" s="1" t="s">
        <v>11</v>
      </c>
      <c r="C394" s="1" t="s">
        <v>24</v>
      </c>
      <c r="D394" s="1" t="s">
        <v>32</v>
      </c>
      <c r="E394" s="10">
        <v>18</v>
      </c>
      <c r="F394" s="10">
        <v>1259</v>
      </c>
      <c r="G394" s="1" t="s">
        <v>35</v>
      </c>
      <c r="H394" s="10">
        <f t="shared" si="12"/>
        <v>22662</v>
      </c>
      <c r="I394" s="7">
        <v>20374.146296315961</v>
      </c>
      <c r="J394" s="7">
        <f t="shared" si="13"/>
        <v>2287.8537036840389</v>
      </c>
      <c r="K394" s="1">
        <f>IF(B394="North",28.6,
IF(B394="South",13,
IF(B394="East",22.6,
IF(B394="West",19,
23.5))))</f>
        <v>19</v>
      </c>
      <c r="L394" s="1">
        <f>IF(B394="North",77.2,
IF(B394="South",80.2,
IF(B394="East",88.4,
IF(B394="West",72.8,
78.9))))</f>
        <v>72.8</v>
      </c>
    </row>
    <row r="395" spans="1:12" x14ac:dyDescent="0.25">
      <c r="A395" s="5">
        <v>45506</v>
      </c>
      <c r="B395" s="1" t="s">
        <v>10</v>
      </c>
      <c r="C395" s="1" t="s">
        <v>22</v>
      </c>
      <c r="D395" s="1" t="s">
        <v>25</v>
      </c>
      <c r="E395" s="10">
        <v>10</v>
      </c>
      <c r="F395" s="10">
        <v>921</v>
      </c>
      <c r="G395" s="1" t="s">
        <v>35</v>
      </c>
      <c r="H395" s="10">
        <f t="shared" si="12"/>
        <v>9210</v>
      </c>
      <c r="I395" s="7">
        <v>7550.3726531118473</v>
      </c>
      <c r="J395" s="7">
        <f t="shared" si="13"/>
        <v>1659.6273468881527</v>
      </c>
      <c r="K395" s="1">
        <f>IF(B395="North",28.6,
IF(B395="South",13,
IF(B395="East",22.6,
IF(B395="West",19,
23.5))))</f>
        <v>28.6</v>
      </c>
      <c r="L395" s="1">
        <f>IF(B395="North",77.2,
IF(B395="South",80.2,
IF(B395="East",88.4,
IF(B395="West",72.8,
78.9))))</f>
        <v>77.2</v>
      </c>
    </row>
    <row r="396" spans="1:12" x14ac:dyDescent="0.25">
      <c r="A396" s="5">
        <v>45633</v>
      </c>
      <c r="B396" s="1" t="s">
        <v>12</v>
      </c>
      <c r="C396" s="1" t="s">
        <v>20</v>
      </c>
      <c r="D396" s="1" t="s">
        <v>31</v>
      </c>
      <c r="E396" s="10">
        <v>17</v>
      </c>
      <c r="F396" s="10">
        <v>520</v>
      </c>
      <c r="G396" s="1" t="s">
        <v>33</v>
      </c>
      <c r="H396" s="10">
        <f t="shared" si="12"/>
        <v>8840</v>
      </c>
      <c r="I396" s="7">
        <v>7831.8536311078014</v>
      </c>
      <c r="J396" s="7">
        <f t="shared" si="13"/>
        <v>1008.1463688921986</v>
      </c>
      <c r="K396" s="1">
        <f>IF(B396="North",28.6,
IF(B396="South",13,
IF(B396="East",22.6,
IF(B396="West",19,
23.5))))</f>
        <v>22.6</v>
      </c>
      <c r="L396" s="1">
        <f>IF(B396="North",77.2,
IF(B396="South",80.2,
IF(B396="East",88.4,
IF(B396="West",72.8,
78.9))))</f>
        <v>88.4</v>
      </c>
    </row>
    <row r="397" spans="1:12" x14ac:dyDescent="0.25">
      <c r="A397" s="5">
        <v>45342</v>
      </c>
      <c r="B397" s="1" t="s">
        <v>13</v>
      </c>
      <c r="C397" s="1" t="s">
        <v>22</v>
      </c>
      <c r="D397" s="1" t="s">
        <v>26</v>
      </c>
      <c r="E397" s="10">
        <v>13</v>
      </c>
      <c r="F397" s="10">
        <v>1342</v>
      </c>
      <c r="G397" s="1" t="s">
        <v>35</v>
      </c>
      <c r="H397" s="10">
        <f t="shared" si="12"/>
        <v>17446</v>
      </c>
      <c r="I397" s="7">
        <v>11326.379098164311</v>
      </c>
      <c r="J397" s="7">
        <f t="shared" si="13"/>
        <v>6119.6209018356894</v>
      </c>
      <c r="K397" s="1">
        <f>IF(B397="North",28.6,
IF(B397="South",13,
IF(B397="East",22.6,
IF(B397="West",19,
23.5))))</f>
        <v>13</v>
      </c>
      <c r="L397" s="1">
        <f>IF(B397="North",77.2,
IF(B397="South",80.2,
IF(B397="East",88.4,
IF(B397="West",72.8,
78.9))))</f>
        <v>80.2</v>
      </c>
    </row>
    <row r="398" spans="1:12" x14ac:dyDescent="0.25">
      <c r="A398" s="5">
        <v>45444</v>
      </c>
      <c r="B398" s="1" t="s">
        <v>10</v>
      </c>
      <c r="C398" s="1" t="s">
        <v>23</v>
      </c>
      <c r="D398" s="1" t="s">
        <v>32</v>
      </c>
      <c r="E398" s="10">
        <v>18</v>
      </c>
      <c r="F398" s="10">
        <v>447</v>
      </c>
      <c r="G398" s="1" t="s">
        <v>34</v>
      </c>
      <c r="H398" s="10">
        <f t="shared" si="12"/>
        <v>8046</v>
      </c>
      <c r="I398" s="7">
        <v>5361.9394289016773</v>
      </c>
      <c r="J398" s="7">
        <f t="shared" si="13"/>
        <v>2684.0605710983227</v>
      </c>
      <c r="K398" s="1">
        <f>IF(B398="North",28.6,
IF(B398="South",13,
IF(B398="East",22.6,
IF(B398="West",19,
23.5))))</f>
        <v>28.6</v>
      </c>
      <c r="L398" s="1">
        <f>IF(B398="North",77.2,
IF(B398="South",80.2,
IF(B398="East",88.4,
IF(B398="West",72.8,
78.9))))</f>
        <v>77.2</v>
      </c>
    </row>
    <row r="399" spans="1:12" x14ac:dyDescent="0.25">
      <c r="A399" s="5">
        <v>45477</v>
      </c>
      <c r="B399" s="1" t="s">
        <v>36</v>
      </c>
      <c r="C399" s="1" t="s">
        <v>22</v>
      </c>
      <c r="D399" s="1" t="s">
        <v>28</v>
      </c>
      <c r="E399" s="10">
        <v>13</v>
      </c>
      <c r="F399" s="10">
        <v>1931</v>
      </c>
      <c r="G399" s="1" t="s">
        <v>35</v>
      </c>
      <c r="H399" s="10">
        <f t="shared" si="12"/>
        <v>25103</v>
      </c>
      <c r="I399" s="7">
        <v>16227.667971810641</v>
      </c>
      <c r="J399" s="7">
        <f t="shared" si="13"/>
        <v>8875.3320281893593</v>
      </c>
      <c r="K399" s="1">
        <f>IF(B399="North",28.6,
IF(B399="South",13,
IF(B399="East",22.6,
IF(B399="West",19,
23.5))))</f>
        <v>23.5</v>
      </c>
      <c r="L399" s="1">
        <f>IF(B399="North",77.2,
IF(B399="South",80.2,
IF(B399="East",88.4,
IF(B399="West",72.8,
78.9))))</f>
        <v>78.900000000000006</v>
      </c>
    </row>
    <row r="400" spans="1:12" x14ac:dyDescent="0.25">
      <c r="A400" s="5">
        <v>45354</v>
      </c>
      <c r="B400" s="1" t="s">
        <v>11</v>
      </c>
      <c r="C400" s="1" t="s">
        <v>23</v>
      </c>
      <c r="D400" s="1" t="s">
        <v>31</v>
      </c>
      <c r="E400" s="10">
        <v>17</v>
      </c>
      <c r="F400" s="10">
        <v>1669</v>
      </c>
      <c r="G400" s="1" t="s">
        <v>34</v>
      </c>
      <c r="H400" s="10">
        <f t="shared" si="12"/>
        <v>28373</v>
      </c>
      <c r="I400" s="7">
        <v>19597.53497859741</v>
      </c>
      <c r="J400" s="7">
        <f t="shared" si="13"/>
        <v>8775.4650214025896</v>
      </c>
      <c r="K400" s="1">
        <f>IF(B400="North",28.6,
IF(B400="South",13,
IF(B400="East",22.6,
IF(B400="West",19,
23.5))))</f>
        <v>19</v>
      </c>
      <c r="L400" s="1">
        <f>IF(B400="North",77.2,
IF(B400="South",80.2,
IF(B400="East",88.4,
IF(B400="West",72.8,
78.9))))</f>
        <v>72.8</v>
      </c>
    </row>
    <row r="401" spans="1:12" x14ac:dyDescent="0.25">
      <c r="A401" s="5">
        <v>45481</v>
      </c>
      <c r="B401" s="1" t="s">
        <v>10</v>
      </c>
      <c r="C401" s="1" t="s">
        <v>22</v>
      </c>
      <c r="D401" s="1" t="s">
        <v>28</v>
      </c>
      <c r="E401" s="10">
        <v>5</v>
      </c>
      <c r="F401" s="10">
        <v>1987</v>
      </c>
      <c r="G401" s="1" t="s">
        <v>35</v>
      </c>
      <c r="H401" s="10">
        <f t="shared" si="12"/>
        <v>9935</v>
      </c>
      <c r="I401" s="7">
        <v>8120.0267156547388</v>
      </c>
      <c r="J401" s="7">
        <f t="shared" si="13"/>
        <v>1814.9732843452612</v>
      </c>
      <c r="K401" s="1">
        <f>IF(B401="North",28.6,
IF(B401="South",13,
IF(B401="East",22.6,
IF(B401="West",19,
23.5))))</f>
        <v>28.6</v>
      </c>
      <c r="L401" s="1">
        <f>IF(B401="North",77.2,
IF(B401="South",80.2,
IF(B401="East",88.4,
IF(B401="West",72.8,
78.9))))</f>
        <v>77.2</v>
      </c>
    </row>
    <row r="402" spans="1:12" x14ac:dyDescent="0.25">
      <c r="A402" s="5">
        <v>45416</v>
      </c>
      <c r="B402" s="1" t="s">
        <v>10</v>
      </c>
      <c r="C402" s="1" t="s">
        <v>19</v>
      </c>
      <c r="D402" s="1" t="s">
        <v>26</v>
      </c>
      <c r="E402" s="10">
        <v>11</v>
      </c>
      <c r="F402" s="10">
        <v>1202</v>
      </c>
      <c r="G402" s="1" t="s">
        <v>35</v>
      </c>
      <c r="H402" s="10">
        <f t="shared" si="12"/>
        <v>13222</v>
      </c>
      <c r="I402" s="7">
        <v>8587.4774245634289</v>
      </c>
      <c r="J402" s="7">
        <f t="shared" si="13"/>
        <v>4634.5225754365711</v>
      </c>
      <c r="K402" s="1">
        <f>IF(B402="North",28.6,
IF(B402="South",13,
IF(B402="East",22.6,
IF(B402="West",19,
23.5))))</f>
        <v>28.6</v>
      </c>
      <c r="L402" s="1">
        <f>IF(B402="North",77.2,
IF(B402="South",80.2,
IF(B402="East",88.4,
IF(B402="West",72.8,
78.9))))</f>
        <v>77.2</v>
      </c>
    </row>
    <row r="403" spans="1:12" x14ac:dyDescent="0.25">
      <c r="A403" s="5">
        <v>45441</v>
      </c>
      <c r="B403" s="1" t="s">
        <v>11</v>
      </c>
      <c r="C403" s="1" t="s">
        <v>17</v>
      </c>
      <c r="D403" s="1" t="s">
        <v>32</v>
      </c>
      <c r="E403" s="10">
        <v>7</v>
      </c>
      <c r="F403" s="10">
        <v>847</v>
      </c>
      <c r="G403" s="1" t="s">
        <v>33</v>
      </c>
      <c r="H403" s="10">
        <f t="shared" si="12"/>
        <v>5929</v>
      </c>
      <c r="I403" s="7">
        <v>4489.8550831830053</v>
      </c>
      <c r="J403" s="7">
        <f t="shared" si="13"/>
        <v>1439.1449168169947</v>
      </c>
      <c r="K403" s="1">
        <f>IF(B403="North",28.6,
IF(B403="South",13,
IF(B403="East",22.6,
IF(B403="West",19,
23.5))))</f>
        <v>19</v>
      </c>
      <c r="L403" s="1">
        <f>IF(B403="North",77.2,
IF(B403="South",80.2,
IF(B403="East",88.4,
IF(B403="West",72.8,
78.9))))</f>
        <v>72.8</v>
      </c>
    </row>
    <row r="404" spans="1:12" x14ac:dyDescent="0.25">
      <c r="A404" s="5">
        <v>45605</v>
      </c>
      <c r="B404" s="1" t="s">
        <v>13</v>
      </c>
      <c r="C404" s="1" t="s">
        <v>19</v>
      </c>
      <c r="D404" s="1" t="s">
        <v>27</v>
      </c>
      <c r="E404" s="10">
        <v>10</v>
      </c>
      <c r="F404" s="10">
        <v>372</v>
      </c>
      <c r="G404" s="1" t="s">
        <v>35</v>
      </c>
      <c r="H404" s="10">
        <f t="shared" si="12"/>
        <v>3720</v>
      </c>
      <c r="I404" s="7">
        <v>2532.4382697316678</v>
      </c>
      <c r="J404" s="7">
        <f t="shared" si="13"/>
        <v>1187.5617302683322</v>
      </c>
      <c r="K404" s="1">
        <f>IF(B404="North",28.6,
IF(B404="South",13,
IF(B404="East",22.6,
IF(B404="West",19,
23.5))))</f>
        <v>13</v>
      </c>
      <c r="L404" s="1">
        <f>IF(B404="North",77.2,
IF(B404="South",80.2,
IF(B404="East",88.4,
IF(B404="West",72.8,
78.9))))</f>
        <v>80.2</v>
      </c>
    </row>
    <row r="405" spans="1:12" x14ac:dyDescent="0.25">
      <c r="A405" s="5">
        <v>45349</v>
      </c>
      <c r="B405" s="1" t="s">
        <v>11</v>
      </c>
      <c r="C405" s="1" t="s">
        <v>19</v>
      </c>
      <c r="D405" s="1" t="s">
        <v>25</v>
      </c>
      <c r="E405" s="10">
        <v>17</v>
      </c>
      <c r="F405" s="10">
        <v>1284</v>
      </c>
      <c r="G405" s="1" t="s">
        <v>35</v>
      </c>
      <c r="H405" s="10">
        <f t="shared" si="12"/>
        <v>21828</v>
      </c>
      <c r="I405" s="7">
        <v>18526.705640100179</v>
      </c>
      <c r="J405" s="7">
        <f t="shared" si="13"/>
        <v>3301.2943598998208</v>
      </c>
      <c r="K405" s="1">
        <f>IF(B405="North",28.6,
IF(B405="South",13,
IF(B405="East",22.6,
IF(B405="West",19,
23.5))))</f>
        <v>19</v>
      </c>
      <c r="L405" s="1">
        <f>IF(B405="North",77.2,
IF(B405="South",80.2,
IF(B405="East",88.4,
IF(B405="West",72.8,
78.9))))</f>
        <v>72.8</v>
      </c>
    </row>
    <row r="406" spans="1:12" x14ac:dyDescent="0.25">
      <c r="A406" s="5">
        <v>45633</v>
      </c>
      <c r="B406" s="1" t="s">
        <v>10</v>
      </c>
      <c r="C406" s="1" t="s">
        <v>18</v>
      </c>
      <c r="D406" s="1" t="s">
        <v>32</v>
      </c>
      <c r="E406" s="10">
        <v>15</v>
      </c>
      <c r="F406" s="10">
        <v>1073.5</v>
      </c>
      <c r="G406" s="1" t="s">
        <v>34</v>
      </c>
      <c r="H406" s="10">
        <f t="shared" si="12"/>
        <v>16102.5</v>
      </c>
      <c r="I406" s="7">
        <f>H406*0.7</f>
        <v>11271.75</v>
      </c>
      <c r="J406" s="7">
        <f t="shared" si="13"/>
        <v>4830.75</v>
      </c>
      <c r="K406" s="1">
        <f>IF(B406="North",28.6,
IF(B406="South",13,
IF(B406="East",22.6,
IF(B406="West",19,
23.5))))</f>
        <v>28.6</v>
      </c>
      <c r="L406" s="1">
        <f>IF(B406="North",77.2,
IF(B406="South",80.2,
IF(B406="East",88.4,
IF(B406="West",72.8,
78.9))))</f>
        <v>77.2</v>
      </c>
    </row>
    <row r="407" spans="1:12" x14ac:dyDescent="0.25">
      <c r="A407" s="5">
        <v>45596</v>
      </c>
      <c r="B407" s="1" t="s">
        <v>11</v>
      </c>
      <c r="C407" s="1" t="s">
        <v>21</v>
      </c>
      <c r="D407" s="1" t="s">
        <v>25</v>
      </c>
      <c r="E407" s="10">
        <v>18</v>
      </c>
      <c r="F407" s="10">
        <v>407</v>
      </c>
      <c r="G407" s="1" t="s">
        <v>35</v>
      </c>
      <c r="H407" s="10">
        <f t="shared" si="12"/>
        <v>7326</v>
      </c>
      <c r="I407" s="7">
        <v>4885.9620558762817</v>
      </c>
      <c r="J407" s="7">
        <f t="shared" si="13"/>
        <v>2440.0379441237183</v>
      </c>
      <c r="K407" s="1">
        <f>IF(B407="North",28.6,
IF(B407="South",13,
IF(B407="East",22.6,
IF(B407="West",19,
23.5))))</f>
        <v>19</v>
      </c>
      <c r="L407" s="1">
        <f>IF(B407="North",77.2,
IF(B407="South",80.2,
IF(B407="East",88.4,
IF(B407="West",72.8,
78.9))))</f>
        <v>72.8</v>
      </c>
    </row>
    <row r="408" spans="1:12" x14ac:dyDescent="0.25">
      <c r="A408" s="5">
        <v>45471</v>
      </c>
      <c r="B408" s="1" t="s">
        <v>12</v>
      </c>
      <c r="C408" s="1" t="s">
        <v>21</v>
      </c>
      <c r="D408" s="1" t="s">
        <v>26</v>
      </c>
      <c r="E408" s="10">
        <v>19</v>
      </c>
      <c r="F408" s="10">
        <v>1497</v>
      </c>
      <c r="G408" s="1" t="s">
        <v>35</v>
      </c>
      <c r="H408" s="10">
        <f t="shared" si="12"/>
        <v>28443</v>
      </c>
      <c r="I408" s="7">
        <v>22230.258860287671</v>
      </c>
      <c r="J408" s="7">
        <f t="shared" si="13"/>
        <v>6212.7411397123287</v>
      </c>
      <c r="K408" s="1">
        <f>IF(B408="North",28.6,
IF(B408="South",13,
IF(B408="East",22.6,
IF(B408="West",19,
23.5))))</f>
        <v>22.6</v>
      </c>
      <c r="L408" s="1">
        <f>IF(B408="North",77.2,
IF(B408="South",80.2,
IF(B408="East",88.4,
IF(B408="West",72.8,
78.9))))</f>
        <v>88.4</v>
      </c>
    </row>
    <row r="409" spans="1:12" x14ac:dyDescent="0.25">
      <c r="A409" s="5">
        <v>45461</v>
      </c>
      <c r="B409" s="1" t="s">
        <v>11</v>
      </c>
      <c r="C409" s="1" t="s">
        <v>22</v>
      </c>
      <c r="D409" s="1" t="s">
        <v>32</v>
      </c>
      <c r="E409" s="10">
        <v>2</v>
      </c>
      <c r="F409" s="10">
        <v>1075</v>
      </c>
      <c r="G409" s="1" t="s">
        <v>35</v>
      </c>
      <c r="H409" s="10">
        <f t="shared" si="12"/>
        <v>2150</v>
      </c>
      <c r="I409" s="7">
        <v>1352.378273773129</v>
      </c>
      <c r="J409" s="7">
        <f t="shared" si="13"/>
        <v>797.62172622687103</v>
      </c>
      <c r="K409" s="1">
        <f>IF(B409="North",28.6,
IF(B409="South",13,
IF(B409="East",22.6,
IF(B409="West",19,
23.5))))</f>
        <v>19</v>
      </c>
      <c r="L409" s="1">
        <f>IF(B409="North",77.2,
IF(B409="South",80.2,
IF(B409="East",88.4,
IF(B409="West",72.8,
78.9))))</f>
        <v>72.8</v>
      </c>
    </row>
    <row r="410" spans="1:12" x14ac:dyDescent="0.25">
      <c r="A410" s="5">
        <v>45617</v>
      </c>
      <c r="B410" s="1" t="s">
        <v>10</v>
      </c>
      <c r="C410" s="1" t="s">
        <v>23</v>
      </c>
      <c r="D410" s="1" t="s">
        <v>25</v>
      </c>
      <c r="E410" s="10">
        <v>4</v>
      </c>
      <c r="F410" s="10">
        <v>832</v>
      </c>
      <c r="G410" s="1" t="s">
        <v>34</v>
      </c>
      <c r="H410" s="10">
        <f t="shared" si="12"/>
        <v>3328</v>
      </c>
      <c r="I410" s="7">
        <v>2462.3661164004761</v>
      </c>
      <c r="J410" s="7">
        <f t="shared" si="13"/>
        <v>865.63388359952387</v>
      </c>
      <c r="K410" s="1">
        <f>IF(B410="North",28.6,
IF(B410="South",13,
IF(B410="East",22.6,
IF(B410="West",19,
23.5))))</f>
        <v>28.6</v>
      </c>
      <c r="L410" s="1">
        <f>IF(B410="North",77.2,
IF(B410="South",80.2,
IF(B410="East",88.4,
IF(B410="West",72.8,
78.9))))</f>
        <v>77.2</v>
      </c>
    </row>
    <row r="411" spans="1:12" x14ac:dyDescent="0.25">
      <c r="A411" s="5">
        <v>45562</v>
      </c>
      <c r="B411" s="1" t="s">
        <v>11</v>
      </c>
      <c r="C411" s="1" t="s">
        <v>18</v>
      </c>
      <c r="D411" s="1" t="s">
        <v>29</v>
      </c>
      <c r="E411" s="10">
        <v>3</v>
      </c>
      <c r="F411" s="10">
        <v>1132</v>
      </c>
      <c r="G411" s="1" t="s">
        <v>34</v>
      </c>
      <c r="H411" s="10">
        <f t="shared" si="12"/>
        <v>3396</v>
      </c>
      <c r="I411" s="7">
        <v>2482.0079936562379</v>
      </c>
      <c r="J411" s="7">
        <f t="shared" si="13"/>
        <v>913.99200634376211</v>
      </c>
      <c r="K411" s="1">
        <f>IF(B411="North",28.6,
IF(B411="South",13,
IF(B411="East",22.6,
IF(B411="West",19,
23.5))))</f>
        <v>19</v>
      </c>
      <c r="L411" s="1">
        <f>IF(B411="North",77.2,
IF(B411="South",80.2,
IF(B411="East",88.4,
IF(B411="West",72.8,
78.9))))</f>
        <v>72.8</v>
      </c>
    </row>
    <row r="412" spans="1:12" x14ac:dyDescent="0.25">
      <c r="A412" s="5">
        <v>45345</v>
      </c>
      <c r="B412" s="1" t="s">
        <v>13</v>
      </c>
      <c r="C412" s="1" t="s">
        <v>19</v>
      </c>
      <c r="D412" s="1" t="s">
        <v>25</v>
      </c>
      <c r="E412" s="10">
        <v>7</v>
      </c>
      <c r="F412" s="10">
        <v>1924</v>
      </c>
      <c r="G412" s="1" t="s">
        <v>35</v>
      </c>
      <c r="H412" s="10">
        <f t="shared" si="12"/>
        <v>13468</v>
      </c>
      <c r="I412" s="7">
        <v>11525.33395676265</v>
      </c>
      <c r="J412" s="7">
        <f t="shared" si="13"/>
        <v>1942.6660432373501</v>
      </c>
      <c r="K412" s="1">
        <f>IF(B412="North",28.6,
IF(B412="South",13,
IF(B412="East",22.6,
IF(B412="West",19,
23.5))))</f>
        <v>13</v>
      </c>
      <c r="L412" s="1">
        <f>IF(B412="North",77.2,
IF(B412="South",80.2,
IF(B412="East",88.4,
IF(B412="West",72.8,
78.9))))</f>
        <v>80.2</v>
      </c>
    </row>
    <row r="413" spans="1:12" x14ac:dyDescent="0.25">
      <c r="A413" s="5">
        <v>45392</v>
      </c>
      <c r="B413" s="1" t="s">
        <v>11</v>
      </c>
      <c r="C413" s="1" t="s">
        <v>18</v>
      </c>
      <c r="D413" s="1" t="s">
        <v>32</v>
      </c>
      <c r="E413" s="10">
        <v>18</v>
      </c>
      <c r="F413" s="10">
        <v>543</v>
      </c>
      <c r="G413" s="1" t="s">
        <v>34</v>
      </c>
      <c r="H413" s="10">
        <f t="shared" si="12"/>
        <v>9774</v>
      </c>
      <c r="I413" s="7">
        <v>7698.1896498037304</v>
      </c>
      <c r="J413" s="7">
        <f t="shared" si="13"/>
        <v>2075.8103501962696</v>
      </c>
      <c r="K413" s="1">
        <f>IF(B413="North",28.6,
IF(B413="South",13,
IF(B413="East",22.6,
IF(B413="West",19,
23.5))))</f>
        <v>19</v>
      </c>
      <c r="L413" s="1">
        <f>IF(B413="North",77.2,
IF(B413="South",80.2,
IF(B413="East",88.4,
IF(B413="West",72.8,
78.9))))</f>
        <v>72.8</v>
      </c>
    </row>
    <row r="414" spans="1:12" x14ac:dyDescent="0.25">
      <c r="A414" s="5">
        <v>45555</v>
      </c>
      <c r="B414" s="1" t="s">
        <v>13</v>
      </c>
      <c r="C414" s="1" t="s">
        <v>22</v>
      </c>
      <c r="D414" s="1" t="s">
        <v>30</v>
      </c>
      <c r="E414" s="10">
        <v>10</v>
      </c>
      <c r="F414" s="10">
        <v>1236</v>
      </c>
      <c r="G414" s="1" t="s">
        <v>35</v>
      </c>
      <c r="H414" s="10">
        <f t="shared" si="12"/>
        <v>12360</v>
      </c>
      <c r="I414" s="7">
        <v>9788.015246485953</v>
      </c>
      <c r="J414" s="7">
        <f t="shared" si="13"/>
        <v>2571.984753514047</v>
      </c>
      <c r="K414" s="1">
        <f>IF(B414="North",28.6,
IF(B414="South",13,
IF(B414="East",22.6,
IF(B414="West",19,
23.5))))</f>
        <v>13</v>
      </c>
      <c r="L414" s="1">
        <f>IF(B414="North",77.2,
IF(B414="South",80.2,
IF(B414="East",88.4,
IF(B414="West",72.8,
78.9))))</f>
        <v>80.2</v>
      </c>
    </row>
    <row r="415" spans="1:12" x14ac:dyDescent="0.25">
      <c r="A415" s="5">
        <v>45344</v>
      </c>
      <c r="B415" s="1" t="s">
        <v>12</v>
      </c>
      <c r="C415" s="1" t="s">
        <v>21</v>
      </c>
      <c r="D415" s="1" t="s">
        <v>32</v>
      </c>
      <c r="E415" s="10">
        <v>7</v>
      </c>
      <c r="F415" s="10">
        <v>1328</v>
      </c>
      <c r="G415" s="1" t="s">
        <v>35</v>
      </c>
      <c r="H415" s="10">
        <f t="shared" si="12"/>
        <v>9296</v>
      </c>
      <c r="I415" s="7">
        <v>8232.0010398696268</v>
      </c>
      <c r="J415" s="7">
        <f t="shared" si="13"/>
        <v>1063.9989601303732</v>
      </c>
      <c r="K415" s="1">
        <f>IF(B415="North",28.6,
IF(B415="South",13,
IF(B415="East",22.6,
IF(B415="West",19,
23.5))))</f>
        <v>22.6</v>
      </c>
      <c r="L415" s="1">
        <f>IF(B415="North",77.2,
IF(B415="South",80.2,
IF(B415="East",88.4,
IF(B415="West",72.8,
78.9))))</f>
        <v>88.4</v>
      </c>
    </row>
    <row r="416" spans="1:12" x14ac:dyDescent="0.25">
      <c r="A416" s="5">
        <v>45351</v>
      </c>
      <c r="B416" s="1" t="s">
        <v>13</v>
      </c>
      <c r="C416" s="1" t="s">
        <v>17</v>
      </c>
      <c r="D416" s="1" t="s">
        <v>32</v>
      </c>
      <c r="E416" s="10">
        <v>8</v>
      </c>
      <c r="F416" s="10">
        <v>504</v>
      </c>
      <c r="G416" s="1" t="s">
        <v>33</v>
      </c>
      <c r="H416" s="10">
        <f t="shared" si="12"/>
        <v>4032</v>
      </c>
      <c r="I416" s="7">
        <v>3607.4631099911539</v>
      </c>
      <c r="J416" s="7">
        <f t="shared" si="13"/>
        <v>424.53689000884606</v>
      </c>
      <c r="K416" s="1">
        <f>IF(B416="North",28.6,
IF(B416="South",13,
IF(B416="East",22.6,
IF(B416="West",19,
23.5))))</f>
        <v>13</v>
      </c>
      <c r="L416" s="1">
        <f>IF(B416="North",77.2,
IF(B416="South",80.2,
IF(B416="East",88.4,
IF(B416="West",72.8,
78.9))))</f>
        <v>80.2</v>
      </c>
    </row>
    <row r="417" spans="1:12" x14ac:dyDescent="0.25">
      <c r="A417" s="5">
        <v>45399</v>
      </c>
      <c r="B417" s="1" t="s">
        <v>11</v>
      </c>
      <c r="C417" s="1" t="s">
        <v>20</v>
      </c>
      <c r="D417" s="1" t="s">
        <v>25</v>
      </c>
      <c r="E417" s="10">
        <v>6</v>
      </c>
      <c r="F417" s="10">
        <v>1821</v>
      </c>
      <c r="G417" s="1" t="s">
        <v>33</v>
      </c>
      <c r="H417" s="10">
        <f t="shared" si="12"/>
        <v>10926</v>
      </c>
      <c r="I417" s="7">
        <v>8697.297253050574</v>
      </c>
      <c r="J417" s="7">
        <f t="shared" si="13"/>
        <v>2228.702746949426</v>
      </c>
      <c r="K417" s="1">
        <f>IF(B417="North",28.6,
IF(B417="South",13,
IF(B417="East",22.6,
IF(B417="West",19,
23.5))))</f>
        <v>19</v>
      </c>
      <c r="L417" s="1">
        <f>IF(B417="North",77.2,
IF(B417="South",80.2,
IF(B417="East",88.4,
IF(B417="West",72.8,
78.9))))</f>
        <v>72.8</v>
      </c>
    </row>
    <row r="418" spans="1:12" x14ac:dyDescent="0.25">
      <c r="A418" s="5">
        <v>45296</v>
      </c>
      <c r="B418" s="1" t="s">
        <v>10</v>
      </c>
      <c r="C418" s="1" t="s">
        <v>22</v>
      </c>
      <c r="D418" s="1" t="s">
        <v>28</v>
      </c>
      <c r="E418" s="10">
        <v>1</v>
      </c>
      <c r="F418" s="10">
        <v>952</v>
      </c>
      <c r="G418" s="1" t="s">
        <v>35</v>
      </c>
      <c r="H418" s="10">
        <f t="shared" si="12"/>
        <v>952</v>
      </c>
      <c r="I418" s="7">
        <v>720.28361416342671</v>
      </c>
      <c r="J418" s="7">
        <f t="shared" si="13"/>
        <v>231.71638583657329</v>
      </c>
      <c r="K418" s="1">
        <f>IF(B418="North",28.6,
IF(B418="South",13,
IF(B418="East",22.6,
IF(B418="West",19,
23.5))))</f>
        <v>28.6</v>
      </c>
      <c r="L418" s="1">
        <f>IF(B418="North",77.2,
IF(B418="South",80.2,
IF(B418="East",88.4,
IF(B418="West",72.8,
78.9))))</f>
        <v>77.2</v>
      </c>
    </row>
    <row r="419" spans="1:12" x14ac:dyDescent="0.25">
      <c r="A419" s="5">
        <v>45394</v>
      </c>
      <c r="B419" s="1" t="s">
        <v>13</v>
      </c>
      <c r="C419" s="1" t="s">
        <v>18</v>
      </c>
      <c r="D419" s="1" t="s">
        <v>27</v>
      </c>
      <c r="E419" s="10">
        <v>4</v>
      </c>
      <c r="F419" s="10">
        <v>1320</v>
      </c>
      <c r="G419" s="1" t="s">
        <v>34</v>
      </c>
      <c r="H419" s="10">
        <f t="shared" si="12"/>
        <v>5280</v>
      </c>
      <c r="I419" s="7">
        <v>4130.9453726083693</v>
      </c>
      <c r="J419" s="7">
        <f t="shared" si="13"/>
        <v>1149.0546273916307</v>
      </c>
      <c r="K419" s="1">
        <f>IF(B419="North",28.6,
IF(B419="South",13,
IF(B419="East",22.6,
IF(B419="West",19,
23.5))))</f>
        <v>13</v>
      </c>
      <c r="L419" s="1">
        <f>IF(B419="North",77.2,
IF(B419="South",80.2,
IF(B419="East",88.4,
IF(B419="West",72.8,
78.9))))</f>
        <v>80.2</v>
      </c>
    </row>
    <row r="420" spans="1:12" x14ac:dyDescent="0.25">
      <c r="A420" s="5">
        <v>45487</v>
      </c>
      <c r="B420" s="1" t="s">
        <v>12</v>
      </c>
      <c r="C420" s="1" t="s">
        <v>17</v>
      </c>
      <c r="D420" s="1" t="s">
        <v>28</v>
      </c>
      <c r="E420" s="10">
        <v>14</v>
      </c>
      <c r="F420" s="10">
        <v>877</v>
      </c>
      <c r="G420" s="1" t="s">
        <v>33</v>
      </c>
      <c r="H420" s="10">
        <f t="shared" si="12"/>
        <v>12278</v>
      </c>
      <c r="I420" s="7">
        <v>8775.4931431964942</v>
      </c>
      <c r="J420" s="7">
        <f t="shared" si="13"/>
        <v>3502.5068568035058</v>
      </c>
      <c r="K420" s="1">
        <f>IF(B420="North",28.6,
IF(B420="South",13,
IF(B420="East",22.6,
IF(B420="West",19,
23.5))))</f>
        <v>22.6</v>
      </c>
      <c r="L420" s="1">
        <f>IF(B420="North",77.2,
IF(B420="South",80.2,
IF(B420="East",88.4,
IF(B420="West",72.8,
78.9))))</f>
        <v>88.4</v>
      </c>
    </row>
    <row r="421" spans="1:12" x14ac:dyDescent="0.25">
      <c r="A421" s="5">
        <v>45553</v>
      </c>
      <c r="B421" s="1" t="s">
        <v>13</v>
      </c>
      <c r="C421" s="1" t="s">
        <v>20</v>
      </c>
      <c r="D421" s="1" t="s">
        <v>25</v>
      </c>
      <c r="E421" s="10">
        <v>17</v>
      </c>
      <c r="F421" s="10">
        <v>1897</v>
      </c>
      <c r="G421" s="1" t="s">
        <v>33</v>
      </c>
      <c r="H421" s="10">
        <f t="shared" si="12"/>
        <v>32249</v>
      </c>
      <c r="I421" s="7">
        <v>28902.746532103662</v>
      </c>
      <c r="J421" s="7">
        <f t="shared" si="13"/>
        <v>3346.2534678963384</v>
      </c>
      <c r="K421" s="1">
        <f>IF(B421="North",28.6,
IF(B421="South",13,
IF(B421="East",22.6,
IF(B421="West",19,
23.5))))</f>
        <v>13</v>
      </c>
      <c r="L421" s="1">
        <f>IF(B421="North",77.2,
IF(B421="South",80.2,
IF(B421="East",88.4,
IF(B421="West",72.8,
78.9))))</f>
        <v>80.2</v>
      </c>
    </row>
    <row r="422" spans="1:12" x14ac:dyDescent="0.25">
      <c r="A422" s="5">
        <v>45656</v>
      </c>
      <c r="B422" s="1" t="s">
        <v>13</v>
      </c>
      <c r="C422" s="1" t="s">
        <v>24</v>
      </c>
      <c r="D422" s="1" t="s">
        <v>28</v>
      </c>
      <c r="E422" s="10">
        <v>18</v>
      </c>
      <c r="F422" s="10">
        <v>1883</v>
      </c>
      <c r="G422" s="1" t="s">
        <v>35</v>
      </c>
      <c r="H422" s="10">
        <f t="shared" si="12"/>
        <v>33894</v>
      </c>
      <c r="I422" s="7">
        <v>27505.197170815962</v>
      </c>
      <c r="J422" s="7">
        <f t="shared" si="13"/>
        <v>6388.8028291840383</v>
      </c>
      <c r="K422" s="1">
        <f>IF(B422="North",28.6,
IF(B422="South",13,
IF(B422="East",22.6,
IF(B422="West",19,
23.5))))</f>
        <v>13</v>
      </c>
      <c r="L422" s="1">
        <f>IF(B422="North",77.2,
IF(B422="South",80.2,
IF(B422="East",88.4,
IF(B422="West",72.8,
78.9))))</f>
        <v>80.2</v>
      </c>
    </row>
    <row r="423" spans="1:12" x14ac:dyDescent="0.25">
      <c r="A423" s="5">
        <v>45641</v>
      </c>
      <c r="B423" s="1" t="s">
        <v>13</v>
      </c>
      <c r="C423" s="1" t="s">
        <v>22</v>
      </c>
      <c r="D423" s="1" t="s">
        <v>31</v>
      </c>
      <c r="E423" s="10">
        <v>11</v>
      </c>
      <c r="F423" s="10">
        <v>214</v>
      </c>
      <c r="G423" s="1" t="s">
        <v>35</v>
      </c>
      <c r="H423" s="10">
        <f t="shared" si="12"/>
        <v>2354</v>
      </c>
      <c r="I423" s="7">
        <v>1617.9089981905661</v>
      </c>
      <c r="J423" s="7">
        <f t="shared" si="13"/>
        <v>736.09100180943392</v>
      </c>
      <c r="K423" s="1">
        <f>IF(B423="North",28.6,
IF(B423="South",13,
IF(B423="East",22.6,
IF(B423="West",19,
23.5))))</f>
        <v>13</v>
      </c>
      <c r="L423" s="1">
        <f>IF(B423="North",77.2,
IF(B423="South",80.2,
IF(B423="East",88.4,
IF(B423="West",72.8,
78.9))))</f>
        <v>80.2</v>
      </c>
    </row>
    <row r="424" spans="1:12" x14ac:dyDescent="0.25">
      <c r="A424" s="5">
        <v>45338</v>
      </c>
      <c r="B424" s="1" t="s">
        <v>12</v>
      </c>
      <c r="C424" s="1" t="s">
        <v>22</v>
      </c>
      <c r="D424" s="1" t="s">
        <v>30</v>
      </c>
      <c r="E424" s="10">
        <v>14</v>
      </c>
      <c r="F424" s="10">
        <v>1244</v>
      </c>
      <c r="G424" s="1" t="s">
        <v>35</v>
      </c>
      <c r="H424" s="10">
        <f t="shared" si="12"/>
        <v>17416</v>
      </c>
      <c r="I424" s="7">
        <v>10751.417358869259</v>
      </c>
      <c r="J424" s="7">
        <f t="shared" si="13"/>
        <v>6664.5826411307407</v>
      </c>
      <c r="K424" s="1">
        <f>IF(B424="North",28.6,
IF(B424="South",13,
IF(B424="East",22.6,
IF(B424="West",19,
23.5))))</f>
        <v>22.6</v>
      </c>
      <c r="L424" s="1">
        <f>IF(B424="North",77.2,
IF(B424="South",80.2,
IF(B424="East",88.4,
IF(B424="West",72.8,
78.9))))</f>
        <v>88.4</v>
      </c>
    </row>
    <row r="425" spans="1:12" x14ac:dyDescent="0.25">
      <c r="A425" s="5">
        <v>45646</v>
      </c>
      <c r="B425" s="1" t="s">
        <v>11</v>
      </c>
      <c r="C425" s="1" t="s">
        <v>24</v>
      </c>
      <c r="D425" s="1" t="s">
        <v>28</v>
      </c>
      <c r="E425" s="10">
        <v>9</v>
      </c>
      <c r="F425" s="10">
        <v>1776</v>
      </c>
      <c r="G425" s="1" t="s">
        <v>35</v>
      </c>
      <c r="H425" s="10">
        <f t="shared" si="12"/>
        <v>15984</v>
      </c>
      <c r="I425" s="7">
        <v>9804.850594669515</v>
      </c>
      <c r="J425" s="7">
        <f t="shared" si="13"/>
        <v>6179.149405330485</v>
      </c>
      <c r="K425" s="1">
        <f>IF(B425="North",28.6,
IF(B425="South",13,
IF(B425="East",22.6,
IF(B425="West",19,
23.5))))</f>
        <v>19</v>
      </c>
      <c r="L425" s="1">
        <f>IF(B425="North",77.2,
IF(B425="South",80.2,
IF(B425="East",88.4,
IF(B425="West",72.8,
78.9))))</f>
        <v>72.8</v>
      </c>
    </row>
    <row r="426" spans="1:12" x14ac:dyDescent="0.25">
      <c r="A426" s="5">
        <v>45602</v>
      </c>
      <c r="B426" s="1" t="s">
        <v>13</v>
      </c>
      <c r="C426" s="1" t="s">
        <v>24</v>
      </c>
      <c r="D426" s="1" t="s">
        <v>29</v>
      </c>
      <c r="E426" s="10">
        <v>15</v>
      </c>
      <c r="F426" s="10">
        <v>164</v>
      </c>
      <c r="G426" s="1" t="s">
        <v>35</v>
      </c>
      <c r="H426" s="10">
        <f t="shared" si="12"/>
        <v>2460</v>
      </c>
      <c r="I426" s="7">
        <v>1627.225779628586</v>
      </c>
      <c r="J426" s="7">
        <f t="shared" si="13"/>
        <v>832.774220371414</v>
      </c>
      <c r="K426" s="1">
        <f>IF(B426="North",28.6,
IF(B426="South",13,
IF(B426="East",22.6,
IF(B426="West",19,
23.5))))</f>
        <v>13</v>
      </c>
      <c r="L426" s="1">
        <f>IF(B426="North",77.2,
IF(B426="South",80.2,
IF(B426="East",88.4,
IF(B426="West",72.8,
78.9))))</f>
        <v>80.2</v>
      </c>
    </row>
    <row r="427" spans="1:12" x14ac:dyDescent="0.25">
      <c r="A427" s="5">
        <v>45599</v>
      </c>
      <c r="B427" s="1" t="s">
        <v>13</v>
      </c>
      <c r="C427" s="1" t="s">
        <v>22</v>
      </c>
      <c r="D427" s="1" t="s">
        <v>26</v>
      </c>
      <c r="E427" s="10">
        <v>12</v>
      </c>
      <c r="F427" s="10">
        <v>1399</v>
      </c>
      <c r="G427" s="1" t="s">
        <v>35</v>
      </c>
      <c r="H427" s="10">
        <f t="shared" si="12"/>
        <v>16788</v>
      </c>
      <c r="I427" s="7">
        <v>11245.843306440371</v>
      </c>
      <c r="J427" s="7">
        <f t="shared" si="13"/>
        <v>5542.1566935596293</v>
      </c>
      <c r="K427" s="1">
        <f>IF(B427="North",28.6,
IF(B427="South",13,
IF(B427="East",22.6,
IF(B427="West",19,
23.5))))</f>
        <v>13</v>
      </c>
      <c r="L427" s="1">
        <f>IF(B427="North",77.2,
IF(B427="South",80.2,
IF(B427="East",88.4,
IF(B427="West",72.8,
78.9))))</f>
        <v>80.2</v>
      </c>
    </row>
    <row r="428" spans="1:12" x14ac:dyDescent="0.25">
      <c r="A428" s="5">
        <v>45435</v>
      </c>
      <c r="B428" s="1" t="s">
        <v>10</v>
      </c>
      <c r="C428" s="1" t="s">
        <v>24</v>
      </c>
      <c r="D428" s="1" t="s">
        <v>29</v>
      </c>
      <c r="E428" s="10">
        <v>10</v>
      </c>
      <c r="F428" s="10">
        <v>924</v>
      </c>
      <c r="G428" s="1" t="s">
        <v>35</v>
      </c>
      <c r="H428" s="10">
        <f t="shared" si="12"/>
        <v>9240</v>
      </c>
      <c r="I428" s="7">
        <v>6694.5061092402111</v>
      </c>
      <c r="J428" s="7">
        <f t="shared" si="13"/>
        <v>2545.4938907597889</v>
      </c>
      <c r="K428" s="1">
        <f>IF(B428="North",28.6,
IF(B428="South",13,
IF(B428="East",22.6,
IF(B428="West",19,
23.5))))</f>
        <v>28.6</v>
      </c>
      <c r="L428" s="1">
        <f>IF(B428="North",77.2,
IF(B428="South",80.2,
IF(B428="East",88.4,
IF(B428="West",72.8,
78.9))))</f>
        <v>77.2</v>
      </c>
    </row>
    <row r="429" spans="1:12" x14ac:dyDescent="0.25">
      <c r="A429" s="5">
        <v>45560</v>
      </c>
      <c r="B429" s="1" t="s">
        <v>12</v>
      </c>
      <c r="C429" s="1" t="s">
        <v>19</v>
      </c>
      <c r="D429" s="1" t="s">
        <v>26</v>
      </c>
      <c r="E429" s="10">
        <v>19</v>
      </c>
      <c r="F429" s="10">
        <v>338</v>
      </c>
      <c r="G429" s="1" t="s">
        <v>35</v>
      </c>
      <c r="H429" s="10">
        <f t="shared" si="12"/>
        <v>6422</v>
      </c>
      <c r="I429" s="7">
        <v>4267.1223260184061</v>
      </c>
      <c r="J429" s="7">
        <f t="shared" si="13"/>
        <v>2154.8776739815939</v>
      </c>
      <c r="K429" s="1">
        <f>IF(B429="North",28.6,
IF(B429="South",13,
IF(B429="East",22.6,
IF(B429="West",19,
23.5))))</f>
        <v>22.6</v>
      </c>
      <c r="L429" s="1">
        <f>IF(B429="North",77.2,
IF(B429="South",80.2,
IF(B429="East",88.4,
IF(B429="West",72.8,
78.9))))</f>
        <v>88.4</v>
      </c>
    </row>
    <row r="430" spans="1:12" x14ac:dyDescent="0.25">
      <c r="A430" s="5">
        <v>45415</v>
      </c>
      <c r="B430" s="1" t="s">
        <v>13</v>
      </c>
      <c r="C430" s="1" t="s">
        <v>20</v>
      </c>
      <c r="D430" s="1" t="s">
        <v>36</v>
      </c>
      <c r="E430" s="10">
        <v>19</v>
      </c>
      <c r="F430" s="10">
        <v>401</v>
      </c>
      <c r="G430" s="1" t="s">
        <v>33</v>
      </c>
      <c r="H430" s="10">
        <f t="shared" si="12"/>
        <v>7619</v>
      </c>
      <c r="I430" s="7">
        <v>6013.4719718206889</v>
      </c>
      <c r="J430" s="7">
        <f t="shared" si="13"/>
        <v>1605.5280281793111</v>
      </c>
      <c r="K430" s="1">
        <f>IF(B430="North",28.6,
IF(B430="South",13,
IF(B430="East",22.6,
IF(B430="West",19,
23.5))))</f>
        <v>13</v>
      </c>
      <c r="L430" s="1">
        <f>IF(B430="North",77.2,
IF(B430="South",80.2,
IF(B430="East",88.4,
IF(B430="West",72.8,
78.9))))</f>
        <v>80.2</v>
      </c>
    </row>
    <row r="431" spans="1:12" x14ac:dyDescent="0.25">
      <c r="A431" s="5">
        <v>45397</v>
      </c>
      <c r="B431" s="1" t="s">
        <v>12</v>
      </c>
      <c r="C431" s="1" t="s">
        <v>20</v>
      </c>
      <c r="D431" s="1" t="s">
        <v>31</v>
      </c>
      <c r="E431" s="10">
        <v>6</v>
      </c>
      <c r="F431" s="10">
        <v>1073.5</v>
      </c>
      <c r="G431" s="1" t="s">
        <v>33</v>
      </c>
      <c r="H431" s="10">
        <f t="shared" si="12"/>
        <v>6441</v>
      </c>
      <c r="I431" s="7">
        <f>H431*0.7</f>
        <v>4508.7</v>
      </c>
      <c r="J431" s="7">
        <f t="shared" si="13"/>
        <v>1932.3000000000002</v>
      </c>
      <c r="K431" s="1">
        <f>IF(B431="North",28.6,
IF(B431="South",13,
IF(B431="East",22.6,
IF(B431="West",19,
23.5))))</f>
        <v>22.6</v>
      </c>
      <c r="L431" s="1">
        <f>IF(B431="North",77.2,
IF(B431="South",80.2,
IF(B431="East",88.4,
IF(B431="West",72.8,
78.9))))</f>
        <v>88.4</v>
      </c>
    </row>
    <row r="432" spans="1:12" x14ac:dyDescent="0.25">
      <c r="A432" s="5">
        <v>45449</v>
      </c>
      <c r="B432" s="1" t="s">
        <v>13</v>
      </c>
      <c r="C432" s="1" t="s">
        <v>20</v>
      </c>
      <c r="D432" s="1" t="s">
        <v>30</v>
      </c>
      <c r="E432" s="10">
        <v>6</v>
      </c>
      <c r="F432" s="10">
        <v>1645</v>
      </c>
      <c r="G432" s="1" t="s">
        <v>33</v>
      </c>
      <c r="H432" s="10">
        <f t="shared" si="12"/>
        <v>9870</v>
      </c>
      <c r="I432" s="7">
        <v>6478.3024318047328</v>
      </c>
      <c r="J432" s="7">
        <f t="shared" si="13"/>
        <v>3391.6975681952672</v>
      </c>
      <c r="K432" s="1">
        <f>IF(B432="North",28.6,
IF(B432="South",13,
IF(B432="East",22.6,
IF(B432="West",19,
23.5))))</f>
        <v>13</v>
      </c>
      <c r="L432" s="1">
        <f>IF(B432="North",77.2,
IF(B432="South",80.2,
IF(B432="East",88.4,
IF(B432="West",72.8,
78.9))))</f>
        <v>80.2</v>
      </c>
    </row>
    <row r="433" spans="1:12" x14ac:dyDescent="0.25">
      <c r="A433" s="5">
        <v>45438</v>
      </c>
      <c r="B433" s="1" t="s">
        <v>11</v>
      </c>
      <c r="C433" s="1" t="s">
        <v>19</v>
      </c>
      <c r="D433" s="1" t="s">
        <v>29</v>
      </c>
      <c r="E433" s="10">
        <v>8</v>
      </c>
      <c r="F433" s="10">
        <v>1068</v>
      </c>
      <c r="G433" s="1" t="s">
        <v>35</v>
      </c>
      <c r="H433" s="10">
        <f t="shared" si="12"/>
        <v>8544</v>
      </c>
      <c r="I433" s="7">
        <v>6334.2746599459078</v>
      </c>
      <c r="J433" s="7">
        <f t="shared" si="13"/>
        <v>2209.7253400540922</v>
      </c>
      <c r="K433" s="1">
        <f>IF(B433="North",28.6,
IF(B433="South",13,
IF(B433="East",22.6,
IF(B433="West",19,
23.5))))</f>
        <v>19</v>
      </c>
      <c r="L433" s="1">
        <f>IF(B433="North",77.2,
IF(B433="South",80.2,
IF(B433="East",88.4,
IF(B433="West",72.8,
78.9))))</f>
        <v>72.8</v>
      </c>
    </row>
    <row r="434" spans="1:12" x14ac:dyDescent="0.25">
      <c r="A434" s="5">
        <v>45436</v>
      </c>
      <c r="B434" s="1" t="s">
        <v>11</v>
      </c>
      <c r="C434" s="1" t="s">
        <v>23</v>
      </c>
      <c r="D434" s="1" t="s">
        <v>30</v>
      </c>
      <c r="E434" s="10">
        <v>1</v>
      </c>
      <c r="F434" s="10">
        <v>468</v>
      </c>
      <c r="G434" s="1" t="s">
        <v>34</v>
      </c>
      <c r="H434" s="10">
        <f t="shared" si="12"/>
        <v>468</v>
      </c>
      <c r="I434" s="7">
        <v>405.56907134506417</v>
      </c>
      <c r="J434" s="7">
        <f t="shared" si="13"/>
        <v>62.430928654935826</v>
      </c>
      <c r="K434" s="1">
        <f>IF(B434="North",28.6,
IF(B434="South",13,
IF(B434="East",22.6,
IF(B434="West",19,
23.5))))</f>
        <v>19</v>
      </c>
      <c r="L434" s="1">
        <f>IF(B434="North",77.2,
IF(B434="South",80.2,
IF(B434="East",88.4,
IF(B434="West",72.8,
78.9))))</f>
        <v>72.8</v>
      </c>
    </row>
    <row r="435" spans="1:12" x14ac:dyDescent="0.25">
      <c r="A435" s="5">
        <v>45411</v>
      </c>
      <c r="B435" s="1" t="s">
        <v>13</v>
      </c>
      <c r="C435" s="1" t="s">
        <v>24</v>
      </c>
      <c r="D435" s="1" t="s">
        <v>29</v>
      </c>
      <c r="E435" s="10">
        <v>17</v>
      </c>
      <c r="F435" s="10">
        <v>332</v>
      </c>
      <c r="G435" s="1" t="s">
        <v>35</v>
      </c>
      <c r="H435" s="10">
        <f t="shared" si="12"/>
        <v>5644</v>
      </c>
      <c r="I435" s="7">
        <v>4179.3348512295033</v>
      </c>
      <c r="J435" s="7">
        <f t="shared" si="13"/>
        <v>1464.6651487704967</v>
      </c>
      <c r="K435" s="1">
        <f>IF(B435="North",28.6,
IF(B435="South",13,
IF(B435="East",22.6,
IF(B435="West",19,
23.5))))</f>
        <v>13</v>
      </c>
      <c r="L435" s="1">
        <f>IF(B435="North",77.2,
IF(B435="South",80.2,
IF(B435="East",88.4,
IF(B435="West",72.8,
78.9))))</f>
        <v>80.2</v>
      </c>
    </row>
    <row r="436" spans="1:12" x14ac:dyDescent="0.25">
      <c r="A436" s="5">
        <v>45610</v>
      </c>
      <c r="B436" s="1" t="s">
        <v>11</v>
      </c>
      <c r="C436" s="1" t="s">
        <v>17</v>
      </c>
      <c r="D436" s="1" t="s">
        <v>32</v>
      </c>
      <c r="E436" s="10">
        <v>17</v>
      </c>
      <c r="F436" s="10">
        <v>294</v>
      </c>
      <c r="G436" s="1" t="s">
        <v>33</v>
      </c>
      <c r="H436" s="10">
        <f t="shared" si="12"/>
        <v>4998</v>
      </c>
      <c r="I436" s="7">
        <v>3619.3248076115069</v>
      </c>
      <c r="J436" s="7">
        <f t="shared" si="13"/>
        <v>1378.6751923884931</v>
      </c>
      <c r="K436" s="1">
        <f>IF(B436="North",28.6,
IF(B436="South",13,
IF(B436="East",22.6,
IF(B436="West",19,
23.5))))</f>
        <v>19</v>
      </c>
      <c r="L436" s="1">
        <f>IF(B436="North",77.2,
IF(B436="South",80.2,
IF(B436="East",88.4,
IF(B436="West",72.8,
78.9))))</f>
        <v>72.8</v>
      </c>
    </row>
    <row r="437" spans="1:12" x14ac:dyDescent="0.25">
      <c r="A437" s="5">
        <v>45566</v>
      </c>
      <c r="B437" s="1" t="s">
        <v>13</v>
      </c>
      <c r="C437" s="1" t="s">
        <v>24</v>
      </c>
      <c r="D437" s="1" t="s">
        <v>26</v>
      </c>
      <c r="E437" s="10">
        <v>15</v>
      </c>
      <c r="F437" s="10">
        <v>1006</v>
      </c>
      <c r="G437" s="1" t="s">
        <v>35</v>
      </c>
      <c r="H437" s="10">
        <f t="shared" si="12"/>
        <v>15090</v>
      </c>
      <c r="I437" s="7">
        <v>11671.0356460701</v>
      </c>
      <c r="J437" s="7">
        <f t="shared" si="13"/>
        <v>3418.9643539298995</v>
      </c>
      <c r="K437" s="1">
        <f>IF(B437="North",28.6,
IF(B437="South",13,
IF(B437="East",22.6,
IF(B437="West",19,
23.5))))</f>
        <v>13</v>
      </c>
      <c r="L437" s="1">
        <f>IF(B437="North",77.2,
IF(B437="South",80.2,
IF(B437="East",88.4,
IF(B437="West",72.8,
78.9))))</f>
        <v>80.2</v>
      </c>
    </row>
    <row r="438" spans="1:12" x14ac:dyDescent="0.25">
      <c r="A438" s="5">
        <v>45383</v>
      </c>
      <c r="B438" s="1" t="s">
        <v>11</v>
      </c>
      <c r="C438" s="1" t="s">
        <v>22</v>
      </c>
      <c r="D438" s="1" t="s">
        <v>27</v>
      </c>
      <c r="E438" s="10">
        <v>7</v>
      </c>
      <c r="F438" s="10">
        <v>1135</v>
      </c>
      <c r="G438" s="1" t="s">
        <v>35</v>
      </c>
      <c r="H438" s="10">
        <f t="shared" si="12"/>
        <v>7945</v>
      </c>
      <c r="I438" s="7">
        <v>5380.0688033045062</v>
      </c>
      <c r="J438" s="7">
        <f t="shared" si="13"/>
        <v>2564.9311966954938</v>
      </c>
      <c r="K438" s="1">
        <f>IF(B438="North",28.6,
IF(B438="South",13,
IF(B438="East",22.6,
IF(B438="West",19,
23.5))))</f>
        <v>19</v>
      </c>
      <c r="L438" s="1">
        <f>IF(B438="North",77.2,
IF(B438="South",80.2,
IF(B438="East",88.4,
IF(B438="West",72.8,
78.9))))</f>
        <v>72.8</v>
      </c>
    </row>
    <row r="439" spans="1:12" x14ac:dyDescent="0.25">
      <c r="A439" s="5">
        <v>45349</v>
      </c>
      <c r="B439" s="1" t="s">
        <v>10</v>
      </c>
      <c r="C439" s="1" t="s">
        <v>21</v>
      </c>
      <c r="D439" s="1" t="s">
        <v>31</v>
      </c>
      <c r="E439" s="10">
        <v>19</v>
      </c>
      <c r="F439" s="10">
        <v>1020</v>
      </c>
      <c r="G439" s="1" t="s">
        <v>35</v>
      </c>
      <c r="H439" s="10">
        <f t="shared" si="12"/>
        <v>19380</v>
      </c>
      <c r="I439" s="7">
        <v>13682.88012780739</v>
      </c>
      <c r="J439" s="7">
        <f t="shared" si="13"/>
        <v>5697.1198721926103</v>
      </c>
      <c r="K439" s="1">
        <f>IF(B439="North",28.6,
IF(B439="South",13,
IF(B439="East",22.6,
IF(B439="West",19,
23.5))))</f>
        <v>28.6</v>
      </c>
      <c r="L439" s="1">
        <f>IF(B439="North",77.2,
IF(B439="South",80.2,
IF(B439="East",88.4,
IF(B439="West",72.8,
78.9))))</f>
        <v>77.2</v>
      </c>
    </row>
    <row r="440" spans="1:12" x14ac:dyDescent="0.25">
      <c r="A440" s="5">
        <v>45637</v>
      </c>
      <c r="B440" s="1" t="s">
        <v>10</v>
      </c>
      <c r="C440" s="1" t="s">
        <v>18</v>
      </c>
      <c r="D440" s="1" t="s">
        <v>29</v>
      </c>
      <c r="E440" s="10">
        <v>3</v>
      </c>
      <c r="F440" s="10">
        <v>788</v>
      </c>
      <c r="G440" s="1" t="s">
        <v>34</v>
      </c>
      <c r="H440" s="10">
        <f t="shared" si="12"/>
        <v>2364</v>
      </c>
      <c r="I440" s="7">
        <v>1570.0519633191291</v>
      </c>
      <c r="J440" s="7">
        <f t="shared" si="13"/>
        <v>793.94803668087093</v>
      </c>
      <c r="K440" s="1">
        <f>IF(B440="North",28.6,
IF(B440="South",13,
IF(B440="East",22.6,
IF(B440="West",19,
23.5))))</f>
        <v>28.6</v>
      </c>
      <c r="L440" s="1">
        <f>IF(B440="North",77.2,
IF(B440="South",80.2,
IF(B440="East",88.4,
IF(B440="West",72.8,
78.9))))</f>
        <v>77.2</v>
      </c>
    </row>
    <row r="441" spans="1:12" x14ac:dyDescent="0.25">
      <c r="A441" s="5">
        <v>45520</v>
      </c>
      <c r="B441" s="1" t="s">
        <v>10</v>
      </c>
      <c r="C441" s="1" t="s">
        <v>18</v>
      </c>
      <c r="D441" s="1" t="s">
        <v>29</v>
      </c>
      <c r="E441" s="10">
        <v>11</v>
      </c>
      <c r="F441" s="10">
        <v>1073.5</v>
      </c>
      <c r="G441" s="1" t="s">
        <v>34</v>
      </c>
      <c r="H441" s="10">
        <f t="shared" si="12"/>
        <v>11808.5</v>
      </c>
      <c r="I441" s="7">
        <f>H441*0.7</f>
        <v>8265.9499999999989</v>
      </c>
      <c r="J441" s="7">
        <f t="shared" si="13"/>
        <v>3542.5500000000011</v>
      </c>
      <c r="K441" s="1">
        <f>IF(B441="North",28.6,
IF(B441="South",13,
IF(B441="East",22.6,
IF(B441="West",19,
23.5))))</f>
        <v>28.6</v>
      </c>
      <c r="L441" s="1">
        <f>IF(B441="North",77.2,
IF(B441="South",80.2,
IF(B441="East",88.4,
IF(B441="West",72.8,
78.9))))</f>
        <v>77.2</v>
      </c>
    </row>
    <row r="442" spans="1:12" x14ac:dyDescent="0.25">
      <c r="A442" s="5">
        <v>45408</v>
      </c>
      <c r="B442" s="1" t="s">
        <v>12</v>
      </c>
      <c r="C442" s="1" t="s">
        <v>20</v>
      </c>
      <c r="D442" s="1" t="s">
        <v>32</v>
      </c>
      <c r="E442" s="10">
        <v>19</v>
      </c>
      <c r="F442" s="10">
        <v>316</v>
      </c>
      <c r="G442" s="1" t="s">
        <v>33</v>
      </c>
      <c r="H442" s="10">
        <f t="shared" si="12"/>
        <v>6004</v>
      </c>
      <c r="I442" s="7">
        <v>4858.5344758984711</v>
      </c>
      <c r="J442" s="7">
        <f t="shared" si="13"/>
        <v>1145.4655241015289</v>
      </c>
      <c r="K442" s="1">
        <f>IF(B442="North",28.6,
IF(B442="South",13,
IF(B442="East",22.6,
IF(B442="West",19,
23.5))))</f>
        <v>22.6</v>
      </c>
      <c r="L442" s="1">
        <f>IF(B442="North",77.2,
IF(B442="South",80.2,
IF(B442="East",88.4,
IF(B442="West",72.8,
78.9))))</f>
        <v>88.4</v>
      </c>
    </row>
    <row r="443" spans="1:12" x14ac:dyDescent="0.25">
      <c r="A443" s="5">
        <v>45609</v>
      </c>
      <c r="B443" s="1" t="s">
        <v>12</v>
      </c>
      <c r="C443" s="1" t="s">
        <v>24</v>
      </c>
      <c r="D443" s="1" t="s">
        <v>31</v>
      </c>
      <c r="E443" s="10">
        <v>10</v>
      </c>
      <c r="F443" s="10">
        <v>1134</v>
      </c>
      <c r="G443" s="1" t="s">
        <v>35</v>
      </c>
      <c r="H443" s="10">
        <f t="shared" si="12"/>
        <v>11340</v>
      </c>
      <c r="I443" s="7">
        <f>H443*0.7</f>
        <v>7937.9999999999991</v>
      </c>
      <c r="J443" s="7">
        <f t="shared" si="13"/>
        <v>3402.0000000000009</v>
      </c>
      <c r="K443" s="1">
        <f>IF(B443="North",28.6,
IF(B443="South",13,
IF(B443="East",22.6,
IF(B443="West",19,
23.5))))</f>
        <v>22.6</v>
      </c>
      <c r="L443" s="1">
        <f>IF(B443="North",77.2,
IF(B443="South",80.2,
IF(B443="East",88.4,
IF(B443="West",72.8,
78.9))))</f>
        <v>88.4</v>
      </c>
    </row>
    <row r="444" spans="1:12" x14ac:dyDescent="0.25">
      <c r="A444" s="5">
        <v>45570</v>
      </c>
      <c r="B444" s="1" t="s">
        <v>10</v>
      </c>
      <c r="C444" s="1" t="s">
        <v>17</v>
      </c>
      <c r="D444" s="1" t="s">
        <v>26</v>
      </c>
      <c r="E444" s="10">
        <v>10</v>
      </c>
      <c r="F444" s="10">
        <v>1569</v>
      </c>
      <c r="G444" s="1" t="s">
        <v>33</v>
      </c>
      <c r="H444" s="10">
        <f t="shared" si="12"/>
        <v>15690</v>
      </c>
      <c r="I444" s="7">
        <v>10613.427469160129</v>
      </c>
      <c r="J444" s="7">
        <f t="shared" si="13"/>
        <v>5076.5725308398705</v>
      </c>
      <c r="K444" s="1">
        <f>IF(B444="North",28.6,
IF(B444="South",13,
IF(B444="East",22.6,
IF(B444="West",19,
23.5))))</f>
        <v>28.6</v>
      </c>
      <c r="L444" s="1">
        <f>IF(B444="North",77.2,
IF(B444="South",80.2,
IF(B444="East",88.4,
IF(B444="West",72.8,
78.9))))</f>
        <v>77.2</v>
      </c>
    </row>
    <row r="445" spans="1:12" x14ac:dyDescent="0.25">
      <c r="A445" s="5">
        <v>45418</v>
      </c>
      <c r="B445" s="1" t="s">
        <v>12</v>
      </c>
      <c r="C445" s="1" t="s">
        <v>22</v>
      </c>
      <c r="D445" s="1" t="s">
        <v>26</v>
      </c>
      <c r="E445" s="10">
        <v>2</v>
      </c>
      <c r="F445" s="10">
        <v>729</v>
      </c>
      <c r="G445" s="1" t="s">
        <v>35</v>
      </c>
      <c r="H445" s="10">
        <f t="shared" si="12"/>
        <v>1458</v>
      </c>
      <c r="I445" s="7">
        <v>1215.818125194161</v>
      </c>
      <c r="J445" s="7">
        <f t="shared" si="13"/>
        <v>242.18187480583902</v>
      </c>
      <c r="K445" s="1">
        <f>IF(B445="North",28.6,
IF(B445="South",13,
IF(B445="East",22.6,
IF(B445="West",19,
23.5))))</f>
        <v>22.6</v>
      </c>
      <c r="L445" s="1">
        <f>IF(B445="North",77.2,
IF(B445="South",80.2,
IF(B445="East",88.4,
IF(B445="West",72.8,
78.9))))</f>
        <v>88.4</v>
      </c>
    </row>
    <row r="446" spans="1:12" x14ac:dyDescent="0.25">
      <c r="A446" s="5">
        <v>45420</v>
      </c>
      <c r="B446" s="1" t="s">
        <v>11</v>
      </c>
      <c r="C446" s="1" t="s">
        <v>19</v>
      </c>
      <c r="D446" s="1" t="s">
        <v>29</v>
      </c>
      <c r="E446" s="10">
        <v>10</v>
      </c>
      <c r="F446" s="10">
        <v>263</v>
      </c>
      <c r="G446" s="1" t="s">
        <v>35</v>
      </c>
      <c r="H446" s="10">
        <f t="shared" si="12"/>
        <v>2630</v>
      </c>
      <c r="I446" s="7">
        <f>H446*0.7</f>
        <v>1840.9999999999998</v>
      </c>
      <c r="J446" s="7">
        <f t="shared" si="13"/>
        <v>789.00000000000023</v>
      </c>
      <c r="K446" s="1">
        <f>IF(B446="North",28.6,
IF(B446="South",13,
IF(B446="East",22.6,
IF(B446="West",19,
23.5))))</f>
        <v>19</v>
      </c>
      <c r="L446" s="1">
        <f>IF(B446="North",77.2,
IF(B446="South",80.2,
IF(B446="East",88.4,
IF(B446="West",72.8,
78.9))))</f>
        <v>72.8</v>
      </c>
    </row>
    <row r="447" spans="1:12" x14ac:dyDescent="0.25">
      <c r="A447" s="5">
        <v>45349</v>
      </c>
      <c r="B447" s="1" t="s">
        <v>13</v>
      </c>
      <c r="C447" s="1" t="s">
        <v>23</v>
      </c>
      <c r="D447" s="1" t="s">
        <v>27</v>
      </c>
      <c r="E447" s="10">
        <v>16</v>
      </c>
      <c r="F447" s="10">
        <v>1674</v>
      </c>
      <c r="G447" s="1" t="s">
        <v>34</v>
      </c>
      <c r="H447" s="10">
        <f t="shared" si="12"/>
        <v>26784</v>
      </c>
      <c r="I447" s="7">
        <v>17278.183376746729</v>
      </c>
      <c r="J447" s="7">
        <f t="shared" si="13"/>
        <v>9505.8166232532712</v>
      </c>
      <c r="K447" s="1">
        <f>IF(B447="North",28.6,
IF(B447="South",13,
IF(B447="East",22.6,
IF(B447="West",19,
23.5))))</f>
        <v>13</v>
      </c>
      <c r="L447" s="1">
        <f>IF(B447="North",77.2,
IF(B447="South",80.2,
IF(B447="East",88.4,
IF(B447="West",72.8,
78.9))))</f>
        <v>80.2</v>
      </c>
    </row>
    <row r="448" spans="1:12" x14ac:dyDescent="0.25">
      <c r="A448" s="5">
        <v>45413</v>
      </c>
      <c r="B448" s="1" t="s">
        <v>13</v>
      </c>
      <c r="C448" s="1" t="s">
        <v>19</v>
      </c>
      <c r="D448" s="1" t="s">
        <v>27</v>
      </c>
      <c r="E448" s="10">
        <v>18</v>
      </c>
      <c r="F448" s="10">
        <v>152</v>
      </c>
      <c r="G448" s="1" t="s">
        <v>35</v>
      </c>
      <c r="H448" s="10">
        <f t="shared" si="12"/>
        <v>2736</v>
      </c>
      <c r="I448" s="7">
        <v>1928.723020922449</v>
      </c>
      <c r="J448" s="7">
        <f t="shared" si="13"/>
        <v>807.276979077551</v>
      </c>
      <c r="K448" s="1">
        <f>IF(B448="North",28.6,
IF(B448="South",13,
IF(B448="East",22.6,
IF(B448="West",19,
23.5))))</f>
        <v>13</v>
      </c>
      <c r="L448" s="1">
        <f>IF(B448="North",77.2,
IF(B448="South",80.2,
IF(B448="East",88.4,
IF(B448="West",72.8,
78.9))))</f>
        <v>80.2</v>
      </c>
    </row>
    <row r="449" spans="1:12" x14ac:dyDescent="0.25">
      <c r="A449" s="5">
        <v>45292</v>
      </c>
      <c r="B449" s="1" t="s">
        <v>36</v>
      </c>
      <c r="C449" s="1" t="s">
        <v>17</v>
      </c>
      <c r="D449" s="1" t="s">
        <v>30</v>
      </c>
      <c r="E449" s="10">
        <v>10</v>
      </c>
      <c r="F449" s="10">
        <v>317</v>
      </c>
      <c r="G449" s="1" t="s">
        <v>33</v>
      </c>
      <c r="H449" s="10">
        <f t="shared" si="12"/>
        <v>3170</v>
      </c>
      <c r="I449" s="7">
        <f>H449*0.7</f>
        <v>2219</v>
      </c>
      <c r="J449" s="7">
        <f t="shared" si="13"/>
        <v>951</v>
      </c>
      <c r="K449" s="1">
        <f>IF(B449="North",28.6,
IF(B449="South",13,
IF(B449="East",22.6,
IF(B449="West",19,
23.5))))</f>
        <v>23.5</v>
      </c>
      <c r="L449" s="1">
        <f>IF(B449="North",77.2,
IF(B449="South",80.2,
IF(B449="East",88.4,
IF(B449="West",72.8,
78.9))))</f>
        <v>78.900000000000006</v>
      </c>
    </row>
    <row r="450" spans="1:12" x14ac:dyDescent="0.25">
      <c r="A450" s="5">
        <v>45530</v>
      </c>
      <c r="B450" s="1" t="s">
        <v>10</v>
      </c>
      <c r="C450" s="1" t="s">
        <v>22</v>
      </c>
      <c r="D450" s="1" t="s">
        <v>31</v>
      </c>
      <c r="E450" s="10">
        <v>6</v>
      </c>
      <c r="F450" s="10">
        <v>1841</v>
      </c>
      <c r="G450" s="1" t="s">
        <v>35</v>
      </c>
      <c r="H450" s="10">
        <f t="shared" si="12"/>
        <v>11046</v>
      </c>
      <c r="I450" s="7">
        <v>7098.1656271540141</v>
      </c>
      <c r="J450" s="7">
        <f t="shared" si="13"/>
        <v>3947.8343728459859</v>
      </c>
      <c r="K450" s="1">
        <f>IF(B450="North",28.6,
IF(B450="South",13,
IF(B450="East",22.6,
IF(B450="West",19,
23.5))))</f>
        <v>28.6</v>
      </c>
      <c r="L450" s="1">
        <f>IF(B450="North",77.2,
IF(B450="South",80.2,
IF(B450="East",88.4,
IF(B450="West",72.8,
78.9))))</f>
        <v>77.2</v>
      </c>
    </row>
    <row r="451" spans="1:12" x14ac:dyDescent="0.25">
      <c r="A451" s="5">
        <v>45581</v>
      </c>
      <c r="B451" s="1" t="s">
        <v>12</v>
      </c>
      <c r="C451" s="1" t="s">
        <v>20</v>
      </c>
      <c r="D451" s="1" t="s">
        <v>31</v>
      </c>
      <c r="E451" s="10">
        <v>14</v>
      </c>
      <c r="F451" s="10">
        <v>1098</v>
      </c>
      <c r="G451" s="1" t="s">
        <v>33</v>
      </c>
      <c r="H451" s="10">
        <f t="shared" ref="H451:H514" si="14">E451*F451</f>
        <v>15372</v>
      </c>
      <c r="I451" s="7">
        <v>12211.918526199361</v>
      </c>
      <c r="J451" s="7">
        <f t="shared" ref="J451:J514" si="15">H451-I451</f>
        <v>3160.0814738006393</v>
      </c>
      <c r="K451" s="1">
        <f>IF(B451="North",28.6,
IF(B451="South",13,
IF(B451="East",22.6,
IF(B451="West",19,
23.5))))</f>
        <v>22.6</v>
      </c>
      <c r="L451" s="1">
        <f>IF(B451="North",77.2,
IF(B451="South",80.2,
IF(B451="East",88.4,
IF(B451="West",72.8,
78.9))))</f>
        <v>88.4</v>
      </c>
    </row>
    <row r="452" spans="1:12" x14ac:dyDescent="0.25">
      <c r="A452" s="5">
        <v>45387</v>
      </c>
      <c r="B452" s="1" t="s">
        <v>11</v>
      </c>
      <c r="C452" s="1" t="s">
        <v>24</v>
      </c>
      <c r="D452" s="1" t="s">
        <v>26</v>
      </c>
      <c r="E452" s="10">
        <v>15</v>
      </c>
      <c r="F452" s="10">
        <v>923</v>
      </c>
      <c r="G452" s="1" t="s">
        <v>35</v>
      </c>
      <c r="H452" s="10">
        <f t="shared" si="14"/>
        <v>13845</v>
      </c>
      <c r="I452" s="7">
        <v>11891.752922438871</v>
      </c>
      <c r="J452" s="7">
        <f t="shared" si="15"/>
        <v>1953.2470775611291</v>
      </c>
      <c r="K452" s="1">
        <f>IF(B452="North",28.6,
IF(B452="South",13,
IF(B452="East",22.6,
IF(B452="West",19,
23.5))))</f>
        <v>19</v>
      </c>
      <c r="L452" s="1">
        <f>IF(B452="North",77.2,
IF(B452="South",80.2,
IF(B452="East",88.4,
IF(B452="West",72.8,
78.9))))</f>
        <v>72.8</v>
      </c>
    </row>
    <row r="453" spans="1:12" x14ac:dyDescent="0.25">
      <c r="A453" s="5">
        <v>45417</v>
      </c>
      <c r="B453" s="1" t="s">
        <v>11</v>
      </c>
      <c r="C453" s="1" t="s">
        <v>22</v>
      </c>
      <c r="D453" s="1" t="s">
        <v>30</v>
      </c>
      <c r="E453" s="10">
        <v>14</v>
      </c>
      <c r="F453" s="10">
        <v>1483</v>
      </c>
      <c r="G453" s="1" t="s">
        <v>35</v>
      </c>
      <c r="H453" s="10">
        <f t="shared" si="14"/>
        <v>20762</v>
      </c>
      <c r="I453" s="7">
        <v>14283.05498219342</v>
      </c>
      <c r="J453" s="7">
        <f t="shared" si="15"/>
        <v>6478.9450178065799</v>
      </c>
      <c r="K453" s="1">
        <f>IF(B453="North",28.6,
IF(B453="South",13,
IF(B453="East",22.6,
IF(B453="West",19,
23.5))))</f>
        <v>19</v>
      </c>
      <c r="L453" s="1">
        <f>IF(B453="North",77.2,
IF(B453="South",80.2,
IF(B453="East",88.4,
IF(B453="West",72.8,
78.9))))</f>
        <v>72.8</v>
      </c>
    </row>
    <row r="454" spans="1:12" x14ac:dyDescent="0.25">
      <c r="A454" s="5">
        <v>45409</v>
      </c>
      <c r="B454" s="1" t="s">
        <v>10</v>
      </c>
      <c r="C454" s="1" t="s">
        <v>18</v>
      </c>
      <c r="D454" s="1" t="s">
        <v>32</v>
      </c>
      <c r="E454" s="10">
        <v>3</v>
      </c>
      <c r="F454" s="10">
        <v>484</v>
      </c>
      <c r="G454" s="1" t="s">
        <v>34</v>
      </c>
      <c r="H454" s="10">
        <f t="shared" si="14"/>
        <v>1452</v>
      </c>
      <c r="I454" s="7">
        <v>1067.3100019797459</v>
      </c>
      <c r="J454" s="7">
        <f t="shared" si="15"/>
        <v>384.68999802025405</v>
      </c>
      <c r="K454" s="1">
        <f>IF(B454="North",28.6,
IF(B454="South",13,
IF(B454="East",22.6,
IF(B454="West",19,
23.5))))</f>
        <v>28.6</v>
      </c>
      <c r="L454" s="1">
        <f>IF(B454="North",77.2,
IF(B454="South",80.2,
IF(B454="East",88.4,
IF(B454="West",72.8,
78.9))))</f>
        <v>77.2</v>
      </c>
    </row>
    <row r="455" spans="1:12" x14ac:dyDescent="0.25">
      <c r="A455" s="5">
        <v>45339</v>
      </c>
      <c r="B455" s="1" t="s">
        <v>11</v>
      </c>
      <c r="C455" s="1" t="s">
        <v>23</v>
      </c>
      <c r="D455" s="1" t="s">
        <v>31</v>
      </c>
      <c r="E455" s="10">
        <v>19</v>
      </c>
      <c r="F455" s="10">
        <v>155</v>
      </c>
      <c r="G455" s="1" t="s">
        <v>34</v>
      </c>
      <c r="H455" s="10">
        <f t="shared" si="14"/>
        <v>2945</v>
      </c>
      <c r="I455" s="7">
        <v>1968.7122610398451</v>
      </c>
      <c r="J455" s="7">
        <f t="shared" si="15"/>
        <v>976.28773896015491</v>
      </c>
      <c r="K455" s="1">
        <f>IF(B455="North",28.6,
IF(B455="South",13,
IF(B455="East",22.6,
IF(B455="West",19,
23.5))))</f>
        <v>19</v>
      </c>
      <c r="L455" s="1">
        <f>IF(B455="North",77.2,
IF(B455="South",80.2,
IF(B455="East",88.4,
IF(B455="West",72.8,
78.9))))</f>
        <v>72.8</v>
      </c>
    </row>
    <row r="456" spans="1:12" x14ac:dyDescent="0.25">
      <c r="A456" s="5">
        <v>45380</v>
      </c>
      <c r="B456" s="1" t="s">
        <v>11</v>
      </c>
      <c r="C456" s="1" t="s">
        <v>19</v>
      </c>
      <c r="D456" s="1" t="s">
        <v>30</v>
      </c>
      <c r="E456" s="10">
        <v>12</v>
      </c>
      <c r="F456" s="10">
        <v>217</v>
      </c>
      <c r="G456" s="1" t="s">
        <v>35</v>
      </c>
      <c r="H456" s="10">
        <f t="shared" si="14"/>
        <v>2604</v>
      </c>
      <c r="I456" s="7">
        <v>1844.617662749793</v>
      </c>
      <c r="J456" s="7">
        <f t="shared" si="15"/>
        <v>759.382337250207</v>
      </c>
      <c r="K456" s="1">
        <f>IF(B456="North",28.6,
IF(B456="South",13,
IF(B456="East",22.6,
IF(B456="West",19,
23.5))))</f>
        <v>19</v>
      </c>
      <c r="L456" s="1">
        <f>IF(B456="North",77.2,
IF(B456="South",80.2,
IF(B456="East",88.4,
IF(B456="West",72.8,
78.9))))</f>
        <v>72.8</v>
      </c>
    </row>
    <row r="457" spans="1:12" x14ac:dyDescent="0.25">
      <c r="A457" s="5">
        <v>45528</v>
      </c>
      <c r="B457" s="1" t="s">
        <v>11</v>
      </c>
      <c r="C457" s="1" t="s">
        <v>23</v>
      </c>
      <c r="D457" s="1" t="s">
        <v>30</v>
      </c>
      <c r="E457" s="10">
        <v>2</v>
      </c>
      <c r="F457" s="10">
        <v>999</v>
      </c>
      <c r="G457" s="1" t="s">
        <v>34</v>
      </c>
      <c r="H457" s="10">
        <f t="shared" si="14"/>
        <v>1998</v>
      </c>
      <c r="I457" s="7">
        <v>1211.969160139023</v>
      </c>
      <c r="J457" s="7">
        <f t="shared" si="15"/>
        <v>786.03083986097704</v>
      </c>
      <c r="K457" s="1">
        <f>IF(B457="North",28.6,
IF(B457="South",13,
IF(B457="East",22.6,
IF(B457="West",19,
23.5))))</f>
        <v>19</v>
      </c>
      <c r="L457" s="1">
        <f>IF(B457="North",77.2,
IF(B457="South",80.2,
IF(B457="East",88.4,
IF(B457="West",72.8,
78.9))))</f>
        <v>72.8</v>
      </c>
    </row>
    <row r="458" spans="1:12" x14ac:dyDescent="0.25">
      <c r="A458" s="5">
        <v>45563</v>
      </c>
      <c r="B458" s="1" t="s">
        <v>11</v>
      </c>
      <c r="C458" s="1" t="s">
        <v>23</v>
      </c>
      <c r="D458" s="1" t="s">
        <v>29</v>
      </c>
      <c r="E458" s="10">
        <v>3</v>
      </c>
      <c r="F458" s="10">
        <v>1376</v>
      </c>
      <c r="G458" s="1" t="s">
        <v>34</v>
      </c>
      <c r="H458" s="10">
        <f t="shared" si="14"/>
        <v>4128</v>
      </c>
      <c r="I458" s="7">
        <v>3657.9480202699651</v>
      </c>
      <c r="J458" s="7">
        <f t="shared" si="15"/>
        <v>470.05197973003487</v>
      </c>
      <c r="K458" s="1">
        <f>IF(B458="North",28.6,
IF(B458="South",13,
IF(B458="East",22.6,
IF(B458="West",19,
23.5))))</f>
        <v>19</v>
      </c>
      <c r="L458" s="1">
        <f>IF(B458="North",77.2,
IF(B458="South",80.2,
IF(B458="East",88.4,
IF(B458="West",72.8,
78.9))))</f>
        <v>72.8</v>
      </c>
    </row>
    <row r="459" spans="1:12" x14ac:dyDescent="0.25">
      <c r="A459" s="5">
        <v>45480</v>
      </c>
      <c r="B459" s="1" t="s">
        <v>12</v>
      </c>
      <c r="C459" s="1" t="s">
        <v>17</v>
      </c>
      <c r="D459" s="1" t="s">
        <v>26</v>
      </c>
      <c r="E459" s="10">
        <v>18</v>
      </c>
      <c r="F459" s="10">
        <v>897</v>
      </c>
      <c r="G459" s="1" t="s">
        <v>33</v>
      </c>
      <c r="H459" s="10">
        <f t="shared" si="14"/>
        <v>16146</v>
      </c>
      <c r="I459" s="7">
        <v>11702.08901475723</v>
      </c>
      <c r="J459" s="7">
        <f t="shared" si="15"/>
        <v>4443.91098524277</v>
      </c>
      <c r="K459" s="1">
        <f>IF(B459="North",28.6,
IF(B459="South",13,
IF(B459="East",22.6,
IF(B459="West",19,
23.5))))</f>
        <v>22.6</v>
      </c>
      <c r="L459" s="1">
        <f>IF(B459="North",77.2,
IF(B459="South",80.2,
IF(B459="East",88.4,
IF(B459="West",72.8,
78.9))))</f>
        <v>88.4</v>
      </c>
    </row>
    <row r="460" spans="1:12" x14ac:dyDescent="0.25">
      <c r="A460" s="5">
        <v>45483</v>
      </c>
      <c r="B460" s="1" t="s">
        <v>11</v>
      </c>
      <c r="C460" s="1" t="s">
        <v>17</v>
      </c>
      <c r="D460" s="1" t="s">
        <v>30</v>
      </c>
      <c r="E460" s="10">
        <v>1</v>
      </c>
      <c r="F460" s="10">
        <v>879</v>
      </c>
      <c r="G460" s="1" t="s">
        <v>33</v>
      </c>
      <c r="H460" s="10">
        <f t="shared" si="14"/>
        <v>879</v>
      </c>
      <c r="I460" s="7">
        <v>735.42504795902778</v>
      </c>
      <c r="J460" s="7">
        <f t="shared" si="15"/>
        <v>143.57495204097222</v>
      </c>
      <c r="K460" s="1">
        <f>IF(B460="North",28.6,
IF(B460="South",13,
IF(B460="East",22.6,
IF(B460="West",19,
23.5))))</f>
        <v>19</v>
      </c>
      <c r="L460" s="1">
        <f>IF(B460="North",77.2,
IF(B460="South",80.2,
IF(B460="East",88.4,
IF(B460="West",72.8,
78.9))))</f>
        <v>72.8</v>
      </c>
    </row>
    <row r="461" spans="1:12" x14ac:dyDescent="0.25">
      <c r="A461" s="5">
        <v>45360</v>
      </c>
      <c r="B461" s="1" t="s">
        <v>13</v>
      </c>
      <c r="C461" s="1" t="s">
        <v>24</v>
      </c>
      <c r="D461" s="1" t="s">
        <v>25</v>
      </c>
      <c r="E461" s="10">
        <v>6</v>
      </c>
      <c r="F461" s="10">
        <v>1115</v>
      </c>
      <c r="G461" s="1" t="s">
        <v>35</v>
      </c>
      <c r="H461" s="10">
        <f t="shared" si="14"/>
        <v>6690</v>
      </c>
      <c r="I461" s="7">
        <v>4300.2853787745144</v>
      </c>
      <c r="J461" s="7">
        <f t="shared" si="15"/>
        <v>2389.7146212254856</v>
      </c>
      <c r="K461" s="1">
        <f>IF(B461="North",28.6,
IF(B461="South",13,
IF(B461="East",22.6,
IF(B461="West",19,
23.5))))</f>
        <v>13</v>
      </c>
      <c r="L461" s="1">
        <f>IF(B461="North",77.2,
IF(B461="South",80.2,
IF(B461="East",88.4,
IF(B461="West",72.8,
78.9))))</f>
        <v>80.2</v>
      </c>
    </row>
    <row r="462" spans="1:12" x14ac:dyDescent="0.25">
      <c r="A462" s="5">
        <v>45569</v>
      </c>
      <c r="B462" s="1" t="s">
        <v>10</v>
      </c>
      <c r="C462" s="1" t="s">
        <v>17</v>
      </c>
      <c r="D462" s="1" t="s">
        <v>27</v>
      </c>
      <c r="E462" s="10">
        <v>10</v>
      </c>
      <c r="F462" s="10">
        <v>902</v>
      </c>
      <c r="G462" s="1" t="s">
        <v>33</v>
      </c>
      <c r="H462" s="10">
        <f t="shared" si="14"/>
        <v>9020</v>
      </c>
      <c r="I462" s="7">
        <f>H462*0.7</f>
        <v>6314</v>
      </c>
      <c r="J462" s="7">
        <f t="shared" si="15"/>
        <v>2706</v>
      </c>
      <c r="K462" s="1">
        <f>IF(B462="North",28.6,
IF(B462="South",13,
IF(B462="East",22.6,
IF(B462="West",19,
23.5))))</f>
        <v>28.6</v>
      </c>
      <c r="L462" s="1">
        <f>IF(B462="North",77.2,
IF(B462="South",80.2,
IF(B462="East",88.4,
IF(B462="West",72.8,
78.9))))</f>
        <v>77.2</v>
      </c>
    </row>
    <row r="463" spans="1:12" x14ac:dyDescent="0.25">
      <c r="A463" s="5">
        <v>45640</v>
      </c>
      <c r="B463" s="1" t="s">
        <v>12</v>
      </c>
      <c r="C463" s="1" t="s">
        <v>17</v>
      </c>
      <c r="D463" s="1" t="s">
        <v>25</v>
      </c>
      <c r="E463" s="10">
        <v>1</v>
      </c>
      <c r="F463" s="10">
        <v>944</v>
      </c>
      <c r="G463" s="1" t="s">
        <v>33</v>
      </c>
      <c r="H463" s="10">
        <f t="shared" si="14"/>
        <v>944</v>
      </c>
      <c r="I463" s="7">
        <v>809.99371846449537</v>
      </c>
      <c r="J463" s="7">
        <f t="shared" si="15"/>
        <v>134.00628153550463</v>
      </c>
      <c r="K463" s="1">
        <f>IF(B463="North",28.6,
IF(B463="South",13,
IF(B463="East",22.6,
IF(B463="West",19,
23.5))))</f>
        <v>22.6</v>
      </c>
      <c r="L463" s="1">
        <f>IF(B463="North",77.2,
IF(B463="South",80.2,
IF(B463="East",88.4,
IF(B463="West",72.8,
78.9))))</f>
        <v>88.4</v>
      </c>
    </row>
    <row r="464" spans="1:12" x14ac:dyDescent="0.25">
      <c r="A464" s="5">
        <v>45538</v>
      </c>
      <c r="B464" s="1" t="s">
        <v>11</v>
      </c>
      <c r="C464" s="1" t="s">
        <v>22</v>
      </c>
      <c r="D464" s="1" t="s">
        <v>27</v>
      </c>
      <c r="E464" s="10">
        <v>19</v>
      </c>
      <c r="F464" s="10">
        <v>1303</v>
      </c>
      <c r="G464" s="1" t="s">
        <v>35</v>
      </c>
      <c r="H464" s="10">
        <f t="shared" si="14"/>
        <v>24757</v>
      </c>
      <c r="I464" s="7">
        <v>20168.120182476261</v>
      </c>
      <c r="J464" s="7">
        <f t="shared" si="15"/>
        <v>4588.8798175237389</v>
      </c>
      <c r="K464" s="1">
        <f>IF(B464="North",28.6,
IF(B464="South",13,
IF(B464="East",22.6,
IF(B464="West",19,
23.5))))</f>
        <v>19</v>
      </c>
      <c r="L464" s="1">
        <f>IF(B464="North",77.2,
IF(B464="South",80.2,
IF(B464="East",88.4,
IF(B464="West",72.8,
78.9))))</f>
        <v>72.8</v>
      </c>
    </row>
    <row r="465" spans="1:12" x14ac:dyDescent="0.25">
      <c r="A465" s="5">
        <v>45367</v>
      </c>
      <c r="B465" s="1" t="s">
        <v>12</v>
      </c>
      <c r="C465" s="1" t="s">
        <v>18</v>
      </c>
      <c r="D465" s="1" t="s">
        <v>28</v>
      </c>
      <c r="E465" s="10">
        <v>1</v>
      </c>
      <c r="F465" s="10">
        <v>1538</v>
      </c>
      <c r="G465" s="1" t="s">
        <v>34</v>
      </c>
      <c r="H465" s="10">
        <f t="shared" si="14"/>
        <v>1538</v>
      </c>
      <c r="I465" s="7">
        <v>1339.5403211473431</v>
      </c>
      <c r="J465" s="7">
        <f t="shared" si="15"/>
        <v>198.45967885265691</v>
      </c>
      <c r="K465" s="1">
        <f>IF(B465="North",28.6,
IF(B465="South",13,
IF(B465="East",22.6,
IF(B465="West",19,
23.5))))</f>
        <v>22.6</v>
      </c>
      <c r="L465" s="1">
        <f>IF(B465="North",77.2,
IF(B465="South",80.2,
IF(B465="East",88.4,
IF(B465="West",72.8,
78.9))))</f>
        <v>88.4</v>
      </c>
    </row>
    <row r="466" spans="1:12" x14ac:dyDescent="0.25">
      <c r="A466" s="5">
        <v>45445</v>
      </c>
      <c r="B466" s="1" t="s">
        <v>11</v>
      </c>
      <c r="C466" s="1" t="s">
        <v>20</v>
      </c>
      <c r="D466" s="1" t="s">
        <v>26</v>
      </c>
      <c r="E466" s="10">
        <v>16</v>
      </c>
      <c r="F466" s="10">
        <v>1993</v>
      </c>
      <c r="G466" s="1" t="s">
        <v>33</v>
      </c>
      <c r="H466" s="10">
        <f t="shared" si="14"/>
        <v>31888</v>
      </c>
      <c r="I466" s="7">
        <v>20732.274619343982</v>
      </c>
      <c r="J466" s="7">
        <f t="shared" si="15"/>
        <v>11155.725380656018</v>
      </c>
      <c r="K466" s="1">
        <f>IF(B466="North",28.6,
IF(B466="South",13,
IF(B466="East",22.6,
IF(B466="West",19,
23.5))))</f>
        <v>19</v>
      </c>
      <c r="L466" s="1">
        <f>IF(B466="North",77.2,
IF(B466="South",80.2,
IF(B466="East",88.4,
IF(B466="West",72.8,
78.9))))</f>
        <v>72.8</v>
      </c>
    </row>
    <row r="467" spans="1:12" x14ac:dyDescent="0.25">
      <c r="A467" s="5">
        <v>45435</v>
      </c>
      <c r="B467" s="1" t="s">
        <v>13</v>
      </c>
      <c r="C467" s="1" t="s">
        <v>24</v>
      </c>
      <c r="D467" s="1" t="s">
        <v>29</v>
      </c>
      <c r="E467" s="10">
        <v>12</v>
      </c>
      <c r="F467" s="10">
        <v>1358</v>
      </c>
      <c r="G467" s="1" t="s">
        <v>35</v>
      </c>
      <c r="H467" s="10">
        <f t="shared" si="14"/>
        <v>16296</v>
      </c>
      <c r="I467" s="7">
        <v>12107.024364581799</v>
      </c>
      <c r="J467" s="7">
        <f t="shared" si="15"/>
        <v>4188.9756354182009</v>
      </c>
      <c r="K467" s="1">
        <f>IF(B467="North",28.6,
IF(B467="South",13,
IF(B467="East",22.6,
IF(B467="West",19,
23.5))))</f>
        <v>13</v>
      </c>
      <c r="L467" s="1">
        <f>IF(B467="North",77.2,
IF(B467="South",80.2,
IF(B467="East",88.4,
IF(B467="West",72.8,
78.9))))</f>
        <v>80.2</v>
      </c>
    </row>
    <row r="468" spans="1:12" x14ac:dyDescent="0.25">
      <c r="A468" s="5">
        <v>45377</v>
      </c>
      <c r="B468" s="1" t="s">
        <v>10</v>
      </c>
      <c r="C468" s="1" t="s">
        <v>22</v>
      </c>
      <c r="D468" s="1" t="s">
        <v>32</v>
      </c>
      <c r="E468" s="10">
        <v>8</v>
      </c>
      <c r="F468" s="10">
        <v>954</v>
      </c>
      <c r="G468" s="1" t="s">
        <v>35</v>
      </c>
      <c r="H468" s="10">
        <f t="shared" si="14"/>
        <v>7632</v>
      </c>
      <c r="I468" s="7">
        <v>5999.0027845041932</v>
      </c>
      <c r="J468" s="7">
        <f t="shared" si="15"/>
        <v>1632.9972154958068</v>
      </c>
      <c r="K468" s="1">
        <f>IF(B468="North",28.6,
IF(B468="South",13,
IF(B468="East",22.6,
IF(B468="West",19,
23.5))))</f>
        <v>28.6</v>
      </c>
      <c r="L468" s="1">
        <f>IF(B468="North",77.2,
IF(B468="South",80.2,
IF(B468="East",88.4,
IF(B468="West",72.8,
78.9))))</f>
        <v>77.2</v>
      </c>
    </row>
    <row r="469" spans="1:12" x14ac:dyDescent="0.25">
      <c r="A469" s="5">
        <v>45476</v>
      </c>
      <c r="B469" s="1" t="s">
        <v>11</v>
      </c>
      <c r="C469" s="1" t="s">
        <v>20</v>
      </c>
      <c r="D469" s="1" t="s">
        <v>25</v>
      </c>
      <c r="E469" s="10">
        <v>16</v>
      </c>
      <c r="F469" s="10">
        <v>1073.5</v>
      </c>
      <c r="G469" s="1" t="s">
        <v>33</v>
      </c>
      <c r="H469" s="10">
        <f t="shared" si="14"/>
        <v>17176</v>
      </c>
      <c r="I469" s="7">
        <f>H469*0.7</f>
        <v>12023.199999999999</v>
      </c>
      <c r="J469" s="7">
        <f t="shared" si="15"/>
        <v>5152.8000000000011</v>
      </c>
      <c r="K469" s="1">
        <f>IF(B469="North",28.6,
IF(B469="South",13,
IF(B469="East",22.6,
IF(B469="West",19,
23.5))))</f>
        <v>19</v>
      </c>
      <c r="L469" s="1">
        <f>IF(B469="North",77.2,
IF(B469="South",80.2,
IF(B469="East",88.4,
IF(B469="West",72.8,
78.9))))</f>
        <v>72.8</v>
      </c>
    </row>
    <row r="470" spans="1:12" x14ac:dyDescent="0.25">
      <c r="A470" s="5">
        <v>45576</v>
      </c>
      <c r="B470" s="1" t="s">
        <v>11</v>
      </c>
      <c r="C470" s="1" t="s">
        <v>40</v>
      </c>
      <c r="D470" s="1" t="s">
        <v>25</v>
      </c>
      <c r="E470" s="10">
        <v>1</v>
      </c>
      <c r="F470" s="10">
        <v>1943</v>
      </c>
      <c r="G470" s="1" t="s">
        <v>34</v>
      </c>
      <c r="H470" s="10">
        <f t="shared" si="14"/>
        <v>1943</v>
      </c>
      <c r="I470" s="7">
        <v>1667.7007607353789</v>
      </c>
      <c r="J470" s="7">
        <f t="shared" si="15"/>
        <v>275.29923926462106</v>
      </c>
      <c r="K470" s="1">
        <f>IF(B470="North",28.6,
IF(B470="South",13,
IF(B470="East",22.6,
IF(B470="West",19,
23.5))))</f>
        <v>19</v>
      </c>
      <c r="L470" s="1">
        <f>IF(B470="North",77.2,
IF(B470="South",80.2,
IF(B470="East",88.4,
IF(B470="West",72.8,
78.9))))</f>
        <v>72.8</v>
      </c>
    </row>
    <row r="471" spans="1:12" x14ac:dyDescent="0.25">
      <c r="A471" s="5">
        <v>45511</v>
      </c>
      <c r="B471" s="1" t="s">
        <v>11</v>
      </c>
      <c r="C471" s="1" t="s">
        <v>22</v>
      </c>
      <c r="D471" s="1" t="s">
        <v>28</v>
      </c>
      <c r="E471" s="10">
        <v>4</v>
      </c>
      <c r="F471" s="10">
        <v>1203</v>
      </c>
      <c r="G471" s="1" t="s">
        <v>35</v>
      </c>
      <c r="H471" s="10">
        <f t="shared" si="14"/>
        <v>4812</v>
      </c>
      <c r="I471" s="7">
        <v>3198.572058805657</v>
      </c>
      <c r="J471" s="7">
        <f t="shared" si="15"/>
        <v>1613.427941194343</v>
      </c>
      <c r="K471" s="1">
        <f>IF(B471="North",28.6,
IF(B471="South",13,
IF(B471="East",22.6,
IF(B471="West",19,
23.5))))</f>
        <v>19</v>
      </c>
      <c r="L471" s="1">
        <f>IF(B471="North",77.2,
IF(B471="South",80.2,
IF(B471="East",88.4,
IF(B471="West",72.8,
78.9))))</f>
        <v>72.8</v>
      </c>
    </row>
    <row r="472" spans="1:12" x14ac:dyDescent="0.25">
      <c r="A472" s="5">
        <v>45360</v>
      </c>
      <c r="B472" s="1" t="s">
        <v>11</v>
      </c>
      <c r="C472" s="1" t="s">
        <v>21</v>
      </c>
      <c r="D472" s="1" t="s">
        <v>27</v>
      </c>
      <c r="E472" s="10">
        <v>10</v>
      </c>
      <c r="F472" s="10">
        <v>1770</v>
      </c>
      <c r="G472" s="1" t="s">
        <v>35</v>
      </c>
      <c r="H472" s="10">
        <f t="shared" si="14"/>
        <v>17700</v>
      </c>
      <c r="I472" s="7">
        <v>11552.66875078138</v>
      </c>
      <c r="J472" s="7">
        <f t="shared" si="15"/>
        <v>6147.3312492186196</v>
      </c>
      <c r="K472" s="1">
        <f>IF(B472="North",28.6,
IF(B472="South",13,
IF(B472="East",22.6,
IF(B472="West",19,
23.5))))</f>
        <v>19</v>
      </c>
      <c r="L472" s="1">
        <f>IF(B472="North",77.2,
IF(B472="South",80.2,
IF(B472="East",88.4,
IF(B472="West",72.8,
78.9))))</f>
        <v>72.8</v>
      </c>
    </row>
    <row r="473" spans="1:12" x14ac:dyDescent="0.25">
      <c r="A473" s="5">
        <v>45338</v>
      </c>
      <c r="B473" s="1" t="s">
        <v>10</v>
      </c>
      <c r="C473" s="1" t="s">
        <v>22</v>
      </c>
      <c r="D473" s="1" t="s">
        <v>29</v>
      </c>
      <c r="E473" s="10">
        <v>11</v>
      </c>
      <c r="F473" s="10">
        <v>121</v>
      </c>
      <c r="G473" s="1" t="s">
        <v>35</v>
      </c>
      <c r="H473" s="10">
        <f t="shared" si="14"/>
        <v>1331</v>
      </c>
      <c r="I473" s="7">
        <v>899.77407292678004</v>
      </c>
      <c r="J473" s="7">
        <f t="shared" si="15"/>
        <v>431.22592707321996</v>
      </c>
      <c r="K473" s="1">
        <f>IF(B473="North",28.6,
IF(B473="South",13,
IF(B473="East",22.6,
IF(B473="West",19,
23.5))))</f>
        <v>28.6</v>
      </c>
      <c r="L473" s="1">
        <f>IF(B473="North",77.2,
IF(B473="South",80.2,
IF(B473="East",88.4,
IF(B473="West",72.8,
78.9))))</f>
        <v>77.2</v>
      </c>
    </row>
    <row r="474" spans="1:12" x14ac:dyDescent="0.25">
      <c r="A474" s="5">
        <v>45385</v>
      </c>
      <c r="B474" s="1" t="s">
        <v>10</v>
      </c>
      <c r="C474" s="1" t="s">
        <v>17</v>
      </c>
      <c r="D474" s="1" t="s">
        <v>28</v>
      </c>
      <c r="E474" s="10">
        <v>17</v>
      </c>
      <c r="F474" s="10">
        <v>1600</v>
      </c>
      <c r="G474" s="1" t="s">
        <v>33</v>
      </c>
      <c r="H474" s="10">
        <f t="shared" si="14"/>
        <v>27200</v>
      </c>
      <c r="I474" s="7">
        <v>23595.048403209021</v>
      </c>
      <c r="J474" s="7">
        <f t="shared" si="15"/>
        <v>3604.9515967909792</v>
      </c>
      <c r="K474" s="1">
        <f>IF(B474="North",28.6,
IF(B474="South",13,
IF(B474="East",22.6,
IF(B474="West",19,
23.5))))</f>
        <v>28.6</v>
      </c>
      <c r="L474" s="1">
        <f>IF(B474="North",77.2,
IF(B474="South",80.2,
IF(B474="East",88.4,
IF(B474="West",72.8,
78.9))))</f>
        <v>77.2</v>
      </c>
    </row>
    <row r="475" spans="1:12" x14ac:dyDescent="0.25">
      <c r="A475" s="5">
        <v>45529</v>
      </c>
      <c r="B475" s="1" t="s">
        <v>13</v>
      </c>
      <c r="C475" s="1" t="s">
        <v>20</v>
      </c>
      <c r="D475" s="1" t="s">
        <v>26</v>
      </c>
      <c r="E475" s="10">
        <v>7</v>
      </c>
      <c r="F475" s="10">
        <v>942</v>
      </c>
      <c r="G475" s="1" t="s">
        <v>33</v>
      </c>
      <c r="H475" s="10">
        <f t="shared" si="14"/>
        <v>6594</v>
      </c>
      <c r="I475" s="7">
        <v>5817.939774913214</v>
      </c>
      <c r="J475" s="7">
        <f t="shared" si="15"/>
        <v>776.06022508678598</v>
      </c>
      <c r="K475" s="1">
        <f>IF(B475="North",28.6,
IF(B475="South",13,
IF(B475="East",22.6,
IF(B475="West",19,
23.5))))</f>
        <v>13</v>
      </c>
      <c r="L475" s="1">
        <f>IF(B475="North",77.2,
IF(B475="South",80.2,
IF(B475="East",88.4,
IF(B475="West",72.8,
78.9))))</f>
        <v>80.2</v>
      </c>
    </row>
    <row r="476" spans="1:12" x14ac:dyDescent="0.25">
      <c r="A476" s="5">
        <v>45495</v>
      </c>
      <c r="B476" s="1" t="s">
        <v>10</v>
      </c>
      <c r="C476" s="1" t="s">
        <v>24</v>
      </c>
      <c r="D476" s="1" t="s">
        <v>29</v>
      </c>
      <c r="E476" s="10">
        <v>12</v>
      </c>
      <c r="F476" s="10">
        <v>1563</v>
      </c>
      <c r="G476" s="1" t="s">
        <v>35</v>
      </c>
      <c r="H476" s="10">
        <f t="shared" si="14"/>
        <v>18756</v>
      </c>
      <c r="I476" s="7">
        <v>14458.79467070642</v>
      </c>
      <c r="J476" s="7">
        <f t="shared" si="15"/>
        <v>4297.2053292935798</v>
      </c>
      <c r="K476" s="1">
        <f>IF(B476="North",28.6,
IF(B476="South",13,
IF(B476="East",22.6,
IF(B476="West",19,
23.5))))</f>
        <v>28.6</v>
      </c>
      <c r="L476" s="1">
        <f>IF(B476="North",77.2,
IF(B476="South",80.2,
IF(B476="East",88.4,
IF(B476="West",72.8,
78.9))))</f>
        <v>77.2</v>
      </c>
    </row>
    <row r="477" spans="1:12" x14ac:dyDescent="0.25">
      <c r="A477" s="5">
        <v>45509</v>
      </c>
      <c r="B477" s="1" t="s">
        <v>11</v>
      </c>
      <c r="C477" s="1" t="s">
        <v>24</v>
      </c>
      <c r="D477" s="1" t="s">
        <v>26</v>
      </c>
      <c r="E477" s="10">
        <v>7</v>
      </c>
      <c r="F477" s="10">
        <v>1860</v>
      </c>
      <c r="G477" s="1" t="s">
        <v>35</v>
      </c>
      <c r="H477" s="10">
        <f t="shared" si="14"/>
        <v>13020</v>
      </c>
      <c r="I477" s="7">
        <v>9770.3587764324511</v>
      </c>
      <c r="J477" s="7">
        <f t="shared" si="15"/>
        <v>3249.6412235675489</v>
      </c>
      <c r="K477" s="1">
        <f>IF(B477="North",28.6,
IF(B477="South",13,
IF(B477="East",22.6,
IF(B477="West",19,
23.5))))</f>
        <v>19</v>
      </c>
      <c r="L477" s="1">
        <f>IF(B477="North",77.2,
IF(B477="South",80.2,
IF(B477="East",88.4,
IF(B477="West",72.8,
78.9))))</f>
        <v>72.8</v>
      </c>
    </row>
    <row r="478" spans="1:12" x14ac:dyDescent="0.25">
      <c r="A478" s="5">
        <v>45632</v>
      </c>
      <c r="B478" s="1" t="s">
        <v>13</v>
      </c>
      <c r="C478" s="1" t="s">
        <v>20</v>
      </c>
      <c r="D478" s="1" t="s">
        <v>30</v>
      </c>
      <c r="E478" s="10">
        <v>12</v>
      </c>
      <c r="F478" s="10">
        <v>1693</v>
      </c>
      <c r="G478" s="1" t="s">
        <v>33</v>
      </c>
      <c r="H478" s="10">
        <f t="shared" si="14"/>
        <v>20316</v>
      </c>
      <c r="I478" s="7">
        <v>15879.304203715539</v>
      </c>
      <c r="J478" s="7">
        <f t="shared" si="15"/>
        <v>4436.6957962844608</v>
      </c>
      <c r="K478" s="1">
        <f>IF(B478="North",28.6,
IF(B478="South",13,
IF(B478="East",22.6,
IF(B478="West",19,
23.5))))</f>
        <v>13</v>
      </c>
      <c r="L478" s="1">
        <f>IF(B478="North",77.2,
IF(B478="South",80.2,
IF(B478="East",88.4,
IF(B478="West",72.8,
78.9))))</f>
        <v>80.2</v>
      </c>
    </row>
    <row r="479" spans="1:12" x14ac:dyDescent="0.25">
      <c r="A479" s="5">
        <v>45330</v>
      </c>
      <c r="B479" s="1" t="s">
        <v>13</v>
      </c>
      <c r="C479" s="1" t="s">
        <v>17</v>
      </c>
      <c r="D479" s="1" t="s">
        <v>31</v>
      </c>
      <c r="E479" s="10">
        <v>15</v>
      </c>
      <c r="F479" s="10">
        <v>1216</v>
      </c>
      <c r="G479" s="1" t="s">
        <v>33</v>
      </c>
      <c r="H479" s="10">
        <f t="shared" si="14"/>
        <v>18240</v>
      </c>
      <c r="I479" s="7">
        <v>14316.435459961111</v>
      </c>
      <c r="J479" s="7">
        <f t="shared" si="15"/>
        <v>3923.5645400388894</v>
      </c>
      <c r="K479" s="1">
        <f>IF(B479="North",28.6,
IF(B479="South",13,
IF(B479="East",22.6,
IF(B479="West",19,
23.5))))</f>
        <v>13</v>
      </c>
      <c r="L479" s="1">
        <f>IF(B479="North",77.2,
IF(B479="South",80.2,
IF(B479="East",88.4,
IF(B479="West",72.8,
78.9))))</f>
        <v>80.2</v>
      </c>
    </row>
    <row r="480" spans="1:12" x14ac:dyDescent="0.25">
      <c r="A480" s="5">
        <v>45391</v>
      </c>
      <c r="B480" s="1" t="s">
        <v>13</v>
      </c>
      <c r="C480" s="1" t="s">
        <v>19</v>
      </c>
      <c r="D480" s="1" t="s">
        <v>30</v>
      </c>
      <c r="E480" s="10">
        <v>2</v>
      </c>
      <c r="F480" s="10">
        <v>291</v>
      </c>
      <c r="G480" s="1" t="s">
        <v>35</v>
      </c>
      <c r="H480" s="10">
        <f t="shared" si="14"/>
        <v>582</v>
      </c>
      <c r="I480" s="7">
        <v>378.93520148313428</v>
      </c>
      <c r="J480" s="7">
        <f t="shared" si="15"/>
        <v>203.06479851686572</v>
      </c>
      <c r="K480" s="1">
        <f>IF(B480="North",28.6,
IF(B480="South",13,
IF(B480="East",22.6,
IF(B480="West",19,
23.5))))</f>
        <v>13</v>
      </c>
      <c r="L480" s="1">
        <f>IF(B480="North",77.2,
IF(B480="South",80.2,
IF(B480="East",88.4,
IF(B480="West",72.8,
78.9))))</f>
        <v>80.2</v>
      </c>
    </row>
    <row r="481" spans="1:12" x14ac:dyDescent="0.25">
      <c r="A481" s="5">
        <v>45580</v>
      </c>
      <c r="B481" s="1" t="s">
        <v>11</v>
      </c>
      <c r="C481" s="1" t="s">
        <v>22</v>
      </c>
      <c r="D481" s="1" t="s">
        <v>26</v>
      </c>
      <c r="E481" s="10">
        <v>14</v>
      </c>
      <c r="F481" s="10">
        <v>1118</v>
      </c>
      <c r="G481" s="1" t="s">
        <v>35</v>
      </c>
      <c r="H481" s="10">
        <f t="shared" si="14"/>
        <v>15652</v>
      </c>
      <c r="I481" s="7">
        <v>12614.31093574957</v>
      </c>
      <c r="J481" s="7">
        <f t="shared" si="15"/>
        <v>3037.6890642504295</v>
      </c>
      <c r="K481" s="1">
        <f>IF(B481="North",28.6,
IF(B481="South",13,
IF(B481="East",22.6,
IF(B481="West",19,
23.5))))</f>
        <v>19</v>
      </c>
      <c r="L481" s="1">
        <f>IF(B481="North",77.2,
IF(B481="South",80.2,
IF(B481="East",88.4,
IF(B481="West",72.8,
78.9))))</f>
        <v>72.8</v>
      </c>
    </row>
    <row r="482" spans="1:12" x14ac:dyDescent="0.25">
      <c r="A482" s="5">
        <v>45545</v>
      </c>
      <c r="B482" s="1" t="s">
        <v>12</v>
      </c>
      <c r="C482" s="1" t="s">
        <v>17</v>
      </c>
      <c r="D482" s="1" t="s">
        <v>25</v>
      </c>
      <c r="E482" s="10">
        <v>13</v>
      </c>
      <c r="F482" s="10">
        <v>1226</v>
      </c>
      <c r="G482" s="1" t="s">
        <v>33</v>
      </c>
      <c r="H482" s="10">
        <f t="shared" si="14"/>
        <v>15938</v>
      </c>
      <c r="I482" s="7">
        <v>11725.67156076876</v>
      </c>
      <c r="J482" s="7">
        <f t="shared" si="15"/>
        <v>4212.3284392312398</v>
      </c>
      <c r="K482" s="1">
        <f>IF(B482="North",28.6,
IF(B482="South",13,
IF(B482="East",22.6,
IF(B482="West",19,
23.5))))</f>
        <v>22.6</v>
      </c>
      <c r="L482" s="1">
        <f>IF(B482="North",77.2,
IF(B482="South",80.2,
IF(B482="East",88.4,
IF(B482="West",72.8,
78.9))))</f>
        <v>88.4</v>
      </c>
    </row>
    <row r="483" spans="1:12" x14ac:dyDescent="0.25">
      <c r="A483" s="5">
        <v>45513</v>
      </c>
      <c r="B483" s="1" t="s">
        <v>11</v>
      </c>
      <c r="C483" s="1" t="s">
        <v>21</v>
      </c>
      <c r="D483" s="1" t="s">
        <v>36</v>
      </c>
      <c r="E483" s="10">
        <v>4</v>
      </c>
      <c r="F483" s="10">
        <v>495</v>
      </c>
      <c r="G483" s="1" t="s">
        <v>35</v>
      </c>
      <c r="H483" s="10">
        <f t="shared" si="14"/>
        <v>1980</v>
      </c>
      <c r="I483" s="7">
        <v>1495.324883555739</v>
      </c>
      <c r="J483" s="7">
        <f t="shared" si="15"/>
        <v>484.67511644426099</v>
      </c>
      <c r="K483" s="1">
        <f>IF(B483="North",28.6,
IF(B483="South",13,
IF(B483="East",22.6,
IF(B483="West",19,
23.5))))</f>
        <v>19</v>
      </c>
      <c r="L483" s="1">
        <f>IF(B483="North",77.2,
IF(B483="South",80.2,
IF(B483="East",88.4,
IF(B483="West",72.8,
78.9))))</f>
        <v>72.8</v>
      </c>
    </row>
    <row r="484" spans="1:12" x14ac:dyDescent="0.25">
      <c r="A484" s="5">
        <v>45648</v>
      </c>
      <c r="B484" s="1" t="s">
        <v>10</v>
      </c>
      <c r="C484" s="1" t="s">
        <v>18</v>
      </c>
      <c r="D484" s="1" t="s">
        <v>27</v>
      </c>
      <c r="E484" s="10">
        <v>14</v>
      </c>
      <c r="F484" s="10">
        <v>1130</v>
      </c>
      <c r="G484" s="1" t="s">
        <v>34</v>
      </c>
      <c r="H484" s="10">
        <f t="shared" si="14"/>
        <v>15820</v>
      </c>
      <c r="I484" s="7">
        <v>9635.882604174647</v>
      </c>
      <c r="J484" s="7">
        <f t="shared" si="15"/>
        <v>6184.117395825353</v>
      </c>
      <c r="K484" s="1">
        <f>IF(B484="North",28.6,
IF(B484="South",13,
IF(B484="East",22.6,
IF(B484="West",19,
23.5))))</f>
        <v>28.6</v>
      </c>
      <c r="L484" s="1">
        <f>IF(B484="North",77.2,
IF(B484="South",80.2,
IF(B484="East",88.4,
IF(B484="West",72.8,
78.9))))</f>
        <v>77.2</v>
      </c>
    </row>
    <row r="485" spans="1:12" x14ac:dyDescent="0.25">
      <c r="A485" s="5">
        <v>45314</v>
      </c>
      <c r="B485" s="1" t="s">
        <v>10</v>
      </c>
      <c r="C485" s="1" t="s">
        <v>23</v>
      </c>
      <c r="D485" s="1" t="s">
        <v>32</v>
      </c>
      <c r="E485" s="10">
        <v>14</v>
      </c>
      <c r="F485" s="10">
        <v>739</v>
      </c>
      <c r="G485" s="1" t="s">
        <v>34</v>
      </c>
      <c r="H485" s="10">
        <f t="shared" si="14"/>
        <v>10346</v>
      </c>
      <c r="I485" s="7">
        <v>8580.6308760498123</v>
      </c>
      <c r="J485" s="7">
        <f t="shared" si="15"/>
        <v>1765.3691239501877</v>
      </c>
      <c r="K485" s="1">
        <f>IF(B485="North",28.6,
IF(B485="South",13,
IF(B485="East",22.6,
IF(B485="West",19,
23.5))))</f>
        <v>28.6</v>
      </c>
      <c r="L485" s="1">
        <f>IF(B485="North",77.2,
IF(B485="South",80.2,
IF(B485="East",88.4,
IF(B485="West",72.8,
78.9))))</f>
        <v>77.2</v>
      </c>
    </row>
    <row r="486" spans="1:12" x14ac:dyDescent="0.25">
      <c r="A486" s="5">
        <v>45541</v>
      </c>
      <c r="B486" s="1" t="s">
        <v>11</v>
      </c>
      <c r="C486" s="1" t="s">
        <v>40</v>
      </c>
      <c r="D486" s="1" t="s">
        <v>27</v>
      </c>
      <c r="E486" s="10">
        <v>16</v>
      </c>
      <c r="F486" s="10">
        <v>1118</v>
      </c>
      <c r="G486" s="1" t="s">
        <v>33</v>
      </c>
      <c r="H486" s="10">
        <f t="shared" si="14"/>
        <v>17888</v>
      </c>
      <c r="I486" s="7">
        <v>15216.04061134796</v>
      </c>
      <c r="J486" s="7">
        <f t="shared" si="15"/>
        <v>2671.9593886520397</v>
      </c>
      <c r="K486" s="1">
        <f>IF(B486="North",28.6,
IF(B486="South",13,
IF(B486="East",22.6,
IF(B486="West",19,
23.5))))</f>
        <v>19</v>
      </c>
      <c r="L486" s="1">
        <f>IF(B486="North",77.2,
IF(B486="South",80.2,
IF(B486="East",88.4,
IF(B486="West",72.8,
78.9))))</f>
        <v>72.8</v>
      </c>
    </row>
    <row r="487" spans="1:12" x14ac:dyDescent="0.25">
      <c r="A487" s="5">
        <v>45301</v>
      </c>
      <c r="B487" s="1" t="s">
        <v>11</v>
      </c>
      <c r="C487" s="1" t="s">
        <v>18</v>
      </c>
      <c r="D487" s="1" t="s">
        <v>29</v>
      </c>
      <c r="E487" s="10">
        <v>7</v>
      </c>
      <c r="F487" s="10">
        <v>666</v>
      </c>
      <c r="G487" s="1" t="s">
        <v>34</v>
      </c>
      <c r="H487" s="10">
        <f t="shared" si="14"/>
        <v>4662</v>
      </c>
      <c r="I487" s="7">
        <v>3663.5229853328569</v>
      </c>
      <c r="J487" s="7">
        <f t="shared" si="15"/>
        <v>998.47701466714307</v>
      </c>
      <c r="K487" s="1">
        <f>IF(B487="North",28.6,
IF(B487="South",13,
IF(B487="East",22.6,
IF(B487="West",19,
23.5))))</f>
        <v>19</v>
      </c>
      <c r="L487" s="1">
        <f>IF(B487="North",77.2,
IF(B487="South",80.2,
IF(B487="East",88.4,
IF(B487="West",72.8,
78.9))))</f>
        <v>72.8</v>
      </c>
    </row>
    <row r="488" spans="1:12" x14ac:dyDescent="0.25">
      <c r="A488" s="5">
        <v>45537</v>
      </c>
      <c r="B488" s="1" t="s">
        <v>13</v>
      </c>
      <c r="C488" s="1" t="s">
        <v>22</v>
      </c>
      <c r="D488" s="1" t="s">
        <v>30</v>
      </c>
      <c r="E488" s="10">
        <v>19</v>
      </c>
      <c r="F488" s="10">
        <v>330</v>
      </c>
      <c r="G488" s="1" t="s">
        <v>35</v>
      </c>
      <c r="H488" s="10">
        <f t="shared" si="14"/>
        <v>6270</v>
      </c>
      <c r="I488" s="7">
        <v>5170.3491579930223</v>
      </c>
      <c r="J488" s="7">
        <f t="shared" si="15"/>
        <v>1099.6508420069777</v>
      </c>
      <c r="K488" s="1">
        <f>IF(B488="North",28.6,
IF(B488="South",13,
IF(B488="East",22.6,
IF(B488="West",19,
23.5))))</f>
        <v>13</v>
      </c>
      <c r="L488" s="1">
        <f>IF(B488="North",77.2,
IF(B488="South",80.2,
IF(B488="East",88.4,
IF(B488="West",72.8,
78.9))))</f>
        <v>80.2</v>
      </c>
    </row>
    <row r="489" spans="1:12" x14ac:dyDescent="0.25">
      <c r="A489" s="5">
        <v>45616</v>
      </c>
      <c r="B489" s="1" t="s">
        <v>11</v>
      </c>
      <c r="C489" s="1" t="s">
        <v>24</v>
      </c>
      <c r="D489" s="1" t="s">
        <v>32</v>
      </c>
      <c r="E489" s="10">
        <v>2</v>
      </c>
      <c r="F489" s="10">
        <v>973</v>
      </c>
      <c r="G489" s="1" t="s">
        <v>35</v>
      </c>
      <c r="H489" s="10">
        <f t="shared" si="14"/>
        <v>1946</v>
      </c>
      <c r="I489" s="7">
        <v>1472.7557646518731</v>
      </c>
      <c r="J489" s="7">
        <f t="shared" si="15"/>
        <v>473.24423534812695</v>
      </c>
      <c r="K489" s="1">
        <f>IF(B489="North",28.6,
IF(B489="South",13,
IF(B489="East",22.6,
IF(B489="West",19,
23.5))))</f>
        <v>19</v>
      </c>
      <c r="L489" s="1">
        <f>IF(B489="North",77.2,
IF(B489="South",80.2,
IF(B489="East",88.4,
IF(B489="West",72.8,
78.9))))</f>
        <v>72.8</v>
      </c>
    </row>
    <row r="490" spans="1:12" x14ac:dyDescent="0.25">
      <c r="A490" s="5">
        <v>45391</v>
      </c>
      <c r="B490" s="1" t="s">
        <v>13</v>
      </c>
      <c r="C490" s="1" t="s">
        <v>23</v>
      </c>
      <c r="D490" s="1" t="s">
        <v>36</v>
      </c>
      <c r="E490" s="10">
        <v>10</v>
      </c>
      <c r="F490" s="10">
        <v>673</v>
      </c>
      <c r="G490" s="1" t="s">
        <v>34</v>
      </c>
      <c r="H490" s="10">
        <f t="shared" si="14"/>
        <v>6730</v>
      </c>
      <c r="I490" s="7">
        <v>5286.4554721577033</v>
      </c>
      <c r="J490" s="7">
        <f t="shared" si="15"/>
        <v>1443.5445278422967</v>
      </c>
      <c r="K490" s="1">
        <f>IF(B490="North",28.6,
IF(B490="South",13,
IF(B490="East",22.6,
IF(B490="West",19,
23.5))))</f>
        <v>13</v>
      </c>
      <c r="L490" s="1">
        <f>IF(B490="North",77.2,
IF(B490="South",80.2,
IF(B490="East",88.4,
IF(B490="West",72.8,
78.9))))</f>
        <v>80.2</v>
      </c>
    </row>
    <row r="491" spans="1:12" x14ac:dyDescent="0.25">
      <c r="A491" s="5">
        <v>45581</v>
      </c>
      <c r="B491" s="1" t="s">
        <v>10</v>
      </c>
      <c r="C491" s="1" t="s">
        <v>18</v>
      </c>
      <c r="D491" s="1" t="s">
        <v>26</v>
      </c>
      <c r="E491" s="10">
        <v>18</v>
      </c>
      <c r="F491" s="10">
        <v>339</v>
      </c>
      <c r="G491" s="1" t="s">
        <v>34</v>
      </c>
      <c r="H491" s="10">
        <f t="shared" si="14"/>
        <v>6102</v>
      </c>
      <c r="I491" s="7">
        <v>4383.502951206804</v>
      </c>
      <c r="J491" s="7">
        <f t="shared" si="15"/>
        <v>1718.497048793196</v>
      </c>
      <c r="K491" s="1">
        <f>IF(B491="North",28.6,
IF(B491="South",13,
IF(B491="East",22.6,
IF(B491="West",19,
23.5))))</f>
        <v>28.6</v>
      </c>
      <c r="L491" s="1">
        <f>IF(B491="North",77.2,
IF(B491="South",80.2,
IF(B491="East",88.4,
IF(B491="West",72.8,
78.9))))</f>
        <v>77.2</v>
      </c>
    </row>
    <row r="492" spans="1:12" x14ac:dyDescent="0.25">
      <c r="A492" s="5">
        <v>45471</v>
      </c>
      <c r="B492" s="1" t="s">
        <v>13</v>
      </c>
      <c r="C492" s="1" t="s">
        <v>40</v>
      </c>
      <c r="D492" s="1" t="s">
        <v>25</v>
      </c>
      <c r="E492" s="10">
        <v>17</v>
      </c>
      <c r="F492" s="10">
        <v>189</v>
      </c>
      <c r="G492" s="1" t="s">
        <v>35</v>
      </c>
      <c r="H492" s="10">
        <f t="shared" si="14"/>
        <v>3213</v>
      </c>
      <c r="I492" s="7">
        <v>2691.087604093756</v>
      </c>
      <c r="J492" s="7">
        <f t="shared" si="15"/>
        <v>521.912395906244</v>
      </c>
      <c r="K492" s="1">
        <f>IF(B492="North",28.6,
IF(B492="South",13,
IF(B492="East",22.6,
IF(B492="West",19,
23.5))))</f>
        <v>13</v>
      </c>
      <c r="L492" s="1">
        <f>IF(B492="North",77.2,
IF(B492="South",80.2,
IF(B492="East",88.4,
IF(B492="West",72.8,
78.9))))</f>
        <v>80.2</v>
      </c>
    </row>
    <row r="493" spans="1:12" x14ac:dyDescent="0.25">
      <c r="A493" s="5">
        <v>45514</v>
      </c>
      <c r="B493" s="1" t="s">
        <v>11</v>
      </c>
      <c r="C493" s="1" t="s">
        <v>18</v>
      </c>
      <c r="D493" s="1" t="s">
        <v>27</v>
      </c>
      <c r="E493" s="10">
        <v>5</v>
      </c>
      <c r="F493" s="10">
        <v>331</v>
      </c>
      <c r="G493" s="1" t="s">
        <v>34</v>
      </c>
      <c r="H493" s="10">
        <f t="shared" si="14"/>
        <v>1655</v>
      </c>
      <c r="I493" s="7">
        <v>1225.496516876321</v>
      </c>
      <c r="J493" s="7">
        <f t="shared" si="15"/>
        <v>429.50348312367896</v>
      </c>
      <c r="K493" s="1">
        <f>IF(B493="North",28.6,
IF(B493="South",13,
IF(B493="East",22.6,
IF(B493="West",19,
23.5))))</f>
        <v>19</v>
      </c>
      <c r="L493" s="1">
        <f>IF(B493="North",77.2,
IF(B493="South",80.2,
IF(B493="East",88.4,
IF(B493="West",72.8,
78.9))))</f>
        <v>72.8</v>
      </c>
    </row>
    <row r="494" spans="1:12" x14ac:dyDescent="0.25">
      <c r="A494" s="5">
        <v>45541</v>
      </c>
      <c r="B494" s="1" t="s">
        <v>10</v>
      </c>
      <c r="C494" s="1" t="s">
        <v>21</v>
      </c>
      <c r="D494" s="1" t="s">
        <v>26</v>
      </c>
      <c r="E494" s="10">
        <v>12</v>
      </c>
      <c r="F494" s="10">
        <v>556</v>
      </c>
      <c r="G494" s="1" t="s">
        <v>35</v>
      </c>
      <c r="H494" s="10">
        <f t="shared" si="14"/>
        <v>6672</v>
      </c>
      <c r="I494" s="7">
        <v>5364.7141494848356</v>
      </c>
      <c r="J494" s="7">
        <f t="shared" si="15"/>
        <v>1307.2858505151644</v>
      </c>
      <c r="K494" s="1">
        <f>IF(B494="North",28.6,
IF(B494="South",13,
IF(B494="East",22.6,
IF(B494="West",19,
23.5))))</f>
        <v>28.6</v>
      </c>
      <c r="L494" s="1">
        <f>IF(B494="North",77.2,
IF(B494="South",80.2,
IF(B494="East",88.4,
IF(B494="West",72.8,
78.9))))</f>
        <v>77.2</v>
      </c>
    </row>
    <row r="495" spans="1:12" x14ac:dyDescent="0.25">
      <c r="A495" s="5">
        <v>45438</v>
      </c>
      <c r="B495" s="1" t="s">
        <v>12</v>
      </c>
      <c r="C495" s="1" t="s">
        <v>24</v>
      </c>
      <c r="D495" s="1" t="s">
        <v>32</v>
      </c>
      <c r="E495" s="10">
        <v>6</v>
      </c>
      <c r="F495" s="10">
        <v>332</v>
      </c>
      <c r="G495" s="1" t="s">
        <v>35</v>
      </c>
      <c r="H495" s="10">
        <f t="shared" si="14"/>
        <v>1992</v>
      </c>
      <c r="I495" s="7">
        <v>1566.5661966630159</v>
      </c>
      <c r="J495" s="7">
        <f t="shared" si="15"/>
        <v>425.43380333698406</v>
      </c>
      <c r="K495" s="1">
        <f>IF(B495="North",28.6,
IF(B495="South",13,
IF(B495="East",22.6,
IF(B495="West",19,
23.5))))</f>
        <v>22.6</v>
      </c>
      <c r="L495" s="1">
        <f>IF(B495="North",77.2,
IF(B495="South",80.2,
IF(B495="East",88.4,
IF(B495="West",72.8,
78.9))))</f>
        <v>88.4</v>
      </c>
    </row>
    <row r="496" spans="1:12" x14ac:dyDescent="0.25">
      <c r="A496" s="5">
        <v>45387</v>
      </c>
      <c r="B496" s="1" t="s">
        <v>13</v>
      </c>
      <c r="C496" s="1" t="s">
        <v>20</v>
      </c>
      <c r="D496" s="1" t="s">
        <v>32</v>
      </c>
      <c r="E496" s="10">
        <v>9</v>
      </c>
      <c r="F496" s="10">
        <v>453</v>
      </c>
      <c r="G496" s="1" t="s">
        <v>33</v>
      </c>
      <c r="H496" s="10">
        <f t="shared" si="14"/>
        <v>4077</v>
      </c>
      <c r="I496" s="7">
        <v>3305.2008874376102</v>
      </c>
      <c r="J496" s="7">
        <f t="shared" si="15"/>
        <v>771.79911256238984</v>
      </c>
      <c r="K496" s="1">
        <f>IF(B496="North",28.6,
IF(B496="South",13,
IF(B496="East",22.6,
IF(B496="West",19,
23.5))))</f>
        <v>13</v>
      </c>
      <c r="L496" s="1">
        <f>IF(B496="North",77.2,
IF(B496="South",80.2,
IF(B496="East",88.4,
IF(B496="West",72.8,
78.9))))</f>
        <v>80.2</v>
      </c>
    </row>
    <row r="497" spans="1:12" x14ac:dyDescent="0.25">
      <c r="A497" s="5">
        <v>45548</v>
      </c>
      <c r="B497" s="1" t="s">
        <v>10</v>
      </c>
      <c r="C497" s="1" t="s">
        <v>22</v>
      </c>
      <c r="D497" s="1" t="s">
        <v>27</v>
      </c>
      <c r="E497" s="10">
        <v>1</v>
      </c>
      <c r="F497" s="10">
        <v>1104</v>
      </c>
      <c r="G497" s="1" t="s">
        <v>35</v>
      </c>
      <c r="H497" s="10">
        <f t="shared" si="14"/>
        <v>1104</v>
      </c>
      <c r="I497" s="7">
        <v>922.46349784147401</v>
      </c>
      <c r="J497" s="7">
        <f t="shared" si="15"/>
        <v>181.53650215852599</v>
      </c>
      <c r="K497" s="1">
        <f>IF(B497="North",28.6,
IF(B497="South",13,
IF(B497="East",22.6,
IF(B497="West",19,
23.5))))</f>
        <v>28.6</v>
      </c>
      <c r="L497" s="1">
        <f>IF(B497="North",77.2,
IF(B497="South",80.2,
IF(B497="East",88.4,
IF(B497="West",72.8,
78.9))))</f>
        <v>77.2</v>
      </c>
    </row>
    <row r="498" spans="1:12" x14ac:dyDescent="0.25">
      <c r="A498" s="5">
        <v>45616</v>
      </c>
      <c r="B498" s="1" t="s">
        <v>13</v>
      </c>
      <c r="C498" s="1" t="s">
        <v>20</v>
      </c>
      <c r="D498" s="1" t="s">
        <v>26</v>
      </c>
      <c r="E498" s="10">
        <v>15</v>
      </c>
      <c r="F498" s="10">
        <v>1456</v>
      </c>
      <c r="G498" s="1" t="s">
        <v>33</v>
      </c>
      <c r="H498" s="10">
        <f t="shared" si="14"/>
        <v>21840</v>
      </c>
      <c r="I498" s="7">
        <v>16463.29873139731</v>
      </c>
      <c r="J498" s="7">
        <f t="shared" si="15"/>
        <v>5376.7012686026901</v>
      </c>
      <c r="K498" s="1">
        <f>IF(B498="North",28.6,
IF(B498="South",13,
IF(B498="East",22.6,
IF(B498="West",19,
23.5))))</f>
        <v>13</v>
      </c>
      <c r="L498" s="1">
        <f>IF(B498="North",77.2,
IF(B498="South",80.2,
IF(B498="East",88.4,
IF(B498="West",72.8,
78.9))))</f>
        <v>80.2</v>
      </c>
    </row>
    <row r="499" spans="1:12" x14ac:dyDescent="0.25">
      <c r="A499" s="5">
        <v>45295</v>
      </c>
      <c r="B499" s="1" t="s">
        <v>10</v>
      </c>
      <c r="C499" s="1" t="s">
        <v>23</v>
      </c>
      <c r="D499" s="1" t="s">
        <v>28</v>
      </c>
      <c r="E499" s="10">
        <v>6</v>
      </c>
      <c r="F499" s="10">
        <v>538</v>
      </c>
      <c r="G499" s="1" t="s">
        <v>34</v>
      </c>
      <c r="H499" s="10">
        <f t="shared" si="14"/>
        <v>3228</v>
      </c>
      <c r="I499" s="7">
        <v>2724.17306525919</v>
      </c>
      <c r="J499" s="7">
        <f t="shared" si="15"/>
        <v>503.82693474080997</v>
      </c>
      <c r="K499" s="1">
        <f>IF(B499="North",28.6,
IF(B499="South",13,
IF(B499="East",22.6,
IF(B499="West",19,
23.5))))</f>
        <v>28.6</v>
      </c>
      <c r="L499" s="1">
        <f>IF(B499="North",77.2,
IF(B499="South",80.2,
IF(B499="East",88.4,
IF(B499="West",72.8,
78.9))))</f>
        <v>77.2</v>
      </c>
    </row>
    <row r="500" spans="1:12" x14ac:dyDescent="0.25">
      <c r="A500" s="5">
        <v>45307</v>
      </c>
      <c r="B500" s="1" t="s">
        <v>10</v>
      </c>
      <c r="C500" s="1" t="s">
        <v>22</v>
      </c>
      <c r="D500" s="1" t="s">
        <v>26</v>
      </c>
      <c r="E500" s="10">
        <v>19</v>
      </c>
      <c r="F500" s="10">
        <v>1498</v>
      </c>
      <c r="G500" s="1" t="s">
        <v>35</v>
      </c>
      <c r="H500" s="10">
        <f t="shared" si="14"/>
        <v>28462</v>
      </c>
      <c r="I500" s="7">
        <v>21323.08064616736</v>
      </c>
      <c r="J500" s="7">
        <f t="shared" si="15"/>
        <v>7138.9193538326399</v>
      </c>
      <c r="K500" s="1">
        <f>IF(B500="North",28.6,
IF(B500="South",13,
IF(B500="East",22.6,
IF(B500="West",19,
23.5))))</f>
        <v>28.6</v>
      </c>
      <c r="L500" s="1">
        <f>IF(B500="North",77.2,
IF(B500="South",80.2,
IF(B500="East",88.4,
IF(B500="West",72.8,
78.9))))</f>
        <v>77.2</v>
      </c>
    </row>
    <row r="501" spans="1:12" x14ac:dyDescent="0.25">
      <c r="A501" s="5">
        <v>45571</v>
      </c>
      <c r="B501" s="1" t="s">
        <v>13</v>
      </c>
      <c r="C501" s="1" t="s">
        <v>17</v>
      </c>
      <c r="D501" s="1" t="s">
        <v>32</v>
      </c>
      <c r="E501" s="10">
        <v>18</v>
      </c>
      <c r="F501" s="10">
        <v>1073.5</v>
      </c>
      <c r="G501" s="1" t="s">
        <v>33</v>
      </c>
      <c r="H501" s="10">
        <f t="shared" si="14"/>
        <v>19323</v>
      </c>
      <c r="I501" s="7">
        <f>H501*0.7</f>
        <v>13526.099999999999</v>
      </c>
      <c r="J501" s="7">
        <f t="shared" si="15"/>
        <v>5796.9000000000015</v>
      </c>
      <c r="K501" s="1">
        <f>IF(B501="North",28.6,
IF(B501="South",13,
IF(B501="East",22.6,
IF(B501="West",19,
23.5))))</f>
        <v>13</v>
      </c>
      <c r="L501" s="1">
        <f>IF(B501="North",77.2,
IF(B501="South",80.2,
IF(B501="East",88.4,
IF(B501="West",72.8,
78.9))))</f>
        <v>80.2</v>
      </c>
    </row>
    <row r="502" spans="1:12" x14ac:dyDescent="0.25">
      <c r="A502" s="5">
        <v>45627</v>
      </c>
      <c r="B502" s="1" t="s">
        <v>12</v>
      </c>
      <c r="C502" s="1" t="s">
        <v>19</v>
      </c>
      <c r="D502" s="1" t="s">
        <v>36</v>
      </c>
      <c r="E502" s="10">
        <v>6</v>
      </c>
      <c r="F502" s="10">
        <v>444</v>
      </c>
      <c r="G502" s="1" t="s">
        <v>35</v>
      </c>
      <c r="H502" s="10">
        <f t="shared" si="14"/>
        <v>2664</v>
      </c>
      <c r="I502" s="7">
        <v>2199.9352614929439</v>
      </c>
      <c r="J502" s="7">
        <f t="shared" si="15"/>
        <v>464.06473850705606</v>
      </c>
      <c r="K502" s="1">
        <f>IF(B502="North",28.6,
IF(B502="South",13,
IF(B502="East",22.6,
IF(B502="West",19,
23.5))))</f>
        <v>22.6</v>
      </c>
      <c r="L502" s="1">
        <f>IF(B502="North",77.2,
IF(B502="South",80.2,
IF(B502="East",88.4,
IF(B502="West",72.8,
78.9))))</f>
        <v>88.4</v>
      </c>
    </row>
    <row r="503" spans="1:12" x14ac:dyDescent="0.25">
      <c r="A503" s="5">
        <v>45538</v>
      </c>
      <c r="B503" s="1" t="s">
        <v>10</v>
      </c>
      <c r="C503" s="1" t="s">
        <v>17</v>
      </c>
      <c r="D503" s="1" t="s">
        <v>25</v>
      </c>
      <c r="E503" s="10">
        <v>13</v>
      </c>
      <c r="F503" s="10">
        <v>763</v>
      </c>
      <c r="G503" s="1" t="s">
        <v>33</v>
      </c>
      <c r="H503" s="10">
        <f t="shared" si="14"/>
        <v>9919</v>
      </c>
      <c r="I503" s="7">
        <v>6460.6662071493629</v>
      </c>
      <c r="J503" s="7">
        <f t="shared" si="15"/>
        <v>3458.3337928506371</v>
      </c>
      <c r="K503" s="1">
        <f>IF(B503="North",28.6,
IF(B503="South",13,
IF(B503="East",22.6,
IF(B503="West",19,
23.5))))</f>
        <v>28.6</v>
      </c>
      <c r="L503" s="1">
        <f>IF(B503="North",77.2,
IF(B503="South",80.2,
IF(B503="East",88.4,
IF(B503="West",72.8,
78.9))))</f>
        <v>77.2</v>
      </c>
    </row>
    <row r="504" spans="1:12" x14ac:dyDescent="0.25">
      <c r="A504" s="5">
        <v>45549</v>
      </c>
      <c r="B504" s="1" t="s">
        <v>10</v>
      </c>
      <c r="C504" s="1" t="s">
        <v>17</v>
      </c>
      <c r="D504" s="1" t="s">
        <v>29</v>
      </c>
      <c r="E504" s="10">
        <v>1</v>
      </c>
      <c r="F504" s="10">
        <v>1551</v>
      </c>
      <c r="G504" s="1" t="s">
        <v>33</v>
      </c>
      <c r="H504" s="10">
        <f t="shared" si="14"/>
        <v>1551</v>
      </c>
      <c r="I504" s="7">
        <v>1316.605654525405</v>
      </c>
      <c r="J504" s="7">
        <f t="shared" si="15"/>
        <v>234.39434547459496</v>
      </c>
      <c r="K504" s="1">
        <f>IF(B504="North",28.6,
IF(B504="South",13,
IF(B504="East",22.6,
IF(B504="West",19,
23.5))))</f>
        <v>28.6</v>
      </c>
      <c r="L504" s="1">
        <f>IF(B504="North",77.2,
IF(B504="South",80.2,
IF(B504="East",88.4,
IF(B504="West",72.8,
78.9))))</f>
        <v>77.2</v>
      </c>
    </row>
    <row r="505" spans="1:12" x14ac:dyDescent="0.25">
      <c r="A505" s="5">
        <v>45451</v>
      </c>
      <c r="B505" s="1" t="s">
        <v>10</v>
      </c>
      <c r="C505" s="1" t="s">
        <v>20</v>
      </c>
      <c r="D505" s="1" t="s">
        <v>30</v>
      </c>
      <c r="E505" s="10">
        <v>13</v>
      </c>
      <c r="F505" s="10">
        <v>756</v>
      </c>
      <c r="G505" s="1" t="s">
        <v>33</v>
      </c>
      <c r="H505" s="10">
        <f t="shared" si="14"/>
        <v>9828</v>
      </c>
      <c r="I505" s="7">
        <v>7523.1010591222803</v>
      </c>
      <c r="J505" s="7">
        <f t="shared" si="15"/>
        <v>2304.8989408777197</v>
      </c>
      <c r="K505" s="1">
        <f>IF(B505="North",28.6,
IF(B505="South",13,
IF(B505="East",22.6,
IF(B505="West",19,
23.5))))</f>
        <v>28.6</v>
      </c>
      <c r="L505" s="1">
        <f>IF(B505="North",77.2,
IF(B505="South",80.2,
IF(B505="East",88.4,
IF(B505="West",72.8,
78.9))))</f>
        <v>77.2</v>
      </c>
    </row>
    <row r="506" spans="1:12" x14ac:dyDescent="0.25">
      <c r="A506" s="5">
        <v>45631</v>
      </c>
      <c r="B506" s="1" t="s">
        <v>12</v>
      </c>
      <c r="C506" s="1" t="s">
        <v>23</v>
      </c>
      <c r="D506" s="1" t="s">
        <v>25</v>
      </c>
      <c r="E506" s="10">
        <v>7</v>
      </c>
      <c r="F506" s="10">
        <v>229</v>
      </c>
      <c r="G506" s="1" t="s">
        <v>34</v>
      </c>
      <c r="H506" s="10">
        <f t="shared" si="14"/>
        <v>1603</v>
      </c>
      <c r="I506" s="7">
        <v>1435.2272746896319</v>
      </c>
      <c r="J506" s="7">
        <f t="shared" si="15"/>
        <v>167.77272531036806</v>
      </c>
      <c r="K506" s="1">
        <f>IF(B506="North",28.6,
IF(B506="South",13,
IF(B506="East",22.6,
IF(B506="West",19,
23.5))))</f>
        <v>22.6</v>
      </c>
      <c r="L506" s="1">
        <f>IF(B506="North",77.2,
IF(B506="South",80.2,
IF(B506="East",88.4,
IF(B506="West",72.8,
78.9))))</f>
        <v>88.4</v>
      </c>
    </row>
    <row r="507" spans="1:12" x14ac:dyDescent="0.25">
      <c r="A507" s="5">
        <v>45443</v>
      </c>
      <c r="B507" s="1" t="s">
        <v>12</v>
      </c>
      <c r="C507" s="1" t="s">
        <v>19</v>
      </c>
      <c r="D507" s="1" t="s">
        <v>28</v>
      </c>
      <c r="E507" s="10">
        <v>15</v>
      </c>
      <c r="F507" s="10">
        <v>240</v>
      </c>
      <c r="G507" s="1" t="s">
        <v>35</v>
      </c>
      <c r="H507" s="10">
        <f t="shared" si="14"/>
        <v>3600</v>
      </c>
      <c r="I507" s="7">
        <v>2936.3245671674099</v>
      </c>
      <c r="J507" s="7">
        <f t="shared" si="15"/>
        <v>663.6754328325901</v>
      </c>
      <c r="K507" s="1">
        <f>IF(B507="North",28.6,
IF(B507="South",13,
IF(B507="East",22.6,
IF(B507="West",19,
23.5))))</f>
        <v>22.6</v>
      </c>
      <c r="L507" s="1">
        <f>IF(B507="North",77.2,
IF(B507="South",80.2,
IF(B507="East",88.4,
IF(B507="West",72.8,
78.9))))</f>
        <v>88.4</v>
      </c>
    </row>
    <row r="508" spans="1:12" x14ac:dyDescent="0.25">
      <c r="A508" s="5">
        <v>45469</v>
      </c>
      <c r="B508" s="1" t="s">
        <v>11</v>
      </c>
      <c r="C508" s="1" t="s">
        <v>18</v>
      </c>
      <c r="D508" s="1" t="s">
        <v>31</v>
      </c>
      <c r="E508" s="10">
        <v>12</v>
      </c>
      <c r="F508" s="10">
        <v>514</v>
      </c>
      <c r="G508" s="1" t="s">
        <v>34</v>
      </c>
      <c r="H508" s="10">
        <f t="shared" si="14"/>
        <v>6168</v>
      </c>
      <c r="I508" s="7">
        <v>3856.9566374534811</v>
      </c>
      <c r="J508" s="7">
        <f t="shared" si="15"/>
        <v>2311.0433625465189</v>
      </c>
      <c r="K508" s="1">
        <f>IF(B508="North",28.6,
IF(B508="South",13,
IF(B508="East",22.6,
IF(B508="West",19,
23.5))))</f>
        <v>19</v>
      </c>
      <c r="L508" s="1">
        <f>IF(B508="North",77.2,
IF(B508="South",80.2,
IF(B508="East",88.4,
IF(B508="West",72.8,
78.9))))</f>
        <v>72.8</v>
      </c>
    </row>
    <row r="509" spans="1:12" x14ac:dyDescent="0.25">
      <c r="A509" s="5">
        <v>45454</v>
      </c>
      <c r="B509" s="1" t="s">
        <v>13</v>
      </c>
      <c r="C509" s="1" t="s">
        <v>22</v>
      </c>
      <c r="D509" s="1" t="s">
        <v>29</v>
      </c>
      <c r="E509" s="10">
        <v>1</v>
      </c>
      <c r="F509" s="10">
        <v>1216</v>
      </c>
      <c r="G509" s="1" t="s">
        <v>35</v>
      </c>
      <c r="H509" s="10">
        <f t="shared" si="14"/>
        <v>1216</v>
      </c>
      <c r="I509" s="7">
        <v>873.68156399225518</v>
      </c>
      <c r="J509" s="7">
        <f t="shared" si="15"/>
        <v>342.31843600774482</v>
      </c>
      <c r="K509" s="1">
        <f>IF(B509="North",28.6,
IF(B509="South",13,
IF(B509="East",22.6,
IF(B509="West",19,
23.5))))</f>
        <v>13</v>
      </c>
      <c r="L509" s="1">
        <f>IF(B509="North",77.2,
IF(B509="South",80.2,
IF(B509="East",88.4,
IF(B509="West",72.8,
78.9))))</f>
        <v>80.2</v>
      </c>
    </row>
    <row r="510" spans="1:12" x14ac:dyDescent="0.25">
      <c r="A510" s="5">
        <v>45324</v>
      </c>
      <c r="B510" s="1" t="s">
        <v>12</v>
      </c>
      <c r="C510" s="1" t="s">
        <v>22</v>
      </c>
      <c r="D510" s="1" t="s">
        <v>30</v>
      </c>
      <c r="E510" s="10">
        <v>15</v>
      </c>
      <c r="F510" s="10">
        <v>725</v>
      </c>
      <c r="G510" s="1" t="s">
        <v>35</v>
      </c>
      <c r="H510" s="10">
        <f t="shared" si="14"/>
        <v>10875</v>
      </c>
      <c r="I510" s="7">
        <v>8212.6110012215322</v>
      </c>
      <c r="J510" s="7">
        <f t="shared" si="15"/>
        <v>2662.3889987784678</v>
      </c>
      <c r="K510" s="1">
        <f>IF(B510="North",28.6,
IF(B510="South",13,
IF(B510="East",22.6,
IF(B510="West",19,
23.5))))</f>
        <v>22.6</v>
      </c>
      <c r="L510" s="1">
        <f>IF(B510="North",77.2,
IF(B510="South",80.2,
IF(B510="East",88.4,
IF(B510="West",72.8,
78.9))))</f>
        <v>88.4</v>
      </c>
    </row>
    <row r="511" spans="1:12" x14ac:dyDescent="0.25">
      <c r="A511" s="5">
        <v>45470</v>
      </c>
      <c r="B511" s="1" t="s">
        <v>13</v>
      </c>
      <c r="C511" s="1" t="s">
        <v>21</v>
      </c>
      <c r="D511" s="1" t="s">
        <v>31</v>
      </c>
      <c r="E511" s="10">
        <v>4</v>
      </c>
      <c r="F511" s="10">
        <v>383</v>
      </c>
      <c r="G511" s="1" t="s">
        <v>35</v>
      </c>
      <c r="H511" s="10">
        <f t="shared" si="14"/>
        <v>1532</v>
      </c>
      <c r="I511" s="7">
        <v>1304.8106520122451</v>
      </c>
      <c r="J511" s="7">
        <f t="shared" si="15"/>
        <v>227.1893479877549</v>
      </c>
      <c r="K511" s="1">
        <f>IF(B511="North",28.6,
IF(B511="South",13,
IF(B511="East",22.6,
IF(B511="West",19,
23.5))))</f>
        <v>13</v>
      </c>
      <c r="L511" s="1">
        <f>IF(B511="North",77.2,
IF(B511="South",80.2,
IF(B511="East",88.4,
IF(B511="West",72.8,
78.9))))</f>
        <v>80.2</v>
      </c>
    </row>
    <row r="512" spans="1:12" x14ac:dyDescent="0.25">
      <c r="A512" s="5">
        <v>45392</v>
      </c>
      <c r="B512" s="1" t="s">
        <v>11</v>
      </c>
      <c r="C512" s="1" t="s">
        <v>24</v>
      </c>
      <c r="D512" s="1" t="s">
        <v>27</v>
      </c>
      <c r="E512" s="10">
        <v>13</v>
      </c>
      <c r="F512" s="10">
        <v>1778</v>
      </c>
      <c r="G512" s="1" t="s">
        <v>35</v>
      </c>
      <c r="H512" s="10">
        <f t="shared" si="14"/>
        <v>23114</v>
      </c>
      <c r="I512" s="7">
        <v>18925.82780414951</v>
      </c>
      <c r="J512" s="7">
        <f t="shared" si="15"/>
        <v>4188.1721958504895</v>
      </c>
      <c r="K512" s="1">
        <f>IF(B512="North",28.6,
IF(B512="South",13,
IF(B512="East",22.6,
IF(B512="West",19,
23.5))))</f>
        <v>19</v>
      </c>
      <c r="L512" s="1">
        <f>IF(B512="North",77.2,
IF(B512="South",80.2,
IF(B512="East",88.4,
IF(B512="West",72.8,
78.9))))</f>
        <v>72.8</v>
      </c>
    </row>
    <row r="513" spans="1:12" x14ac:dyDescent="0.25">
      <c r="A513" s="5">
        <v>45559</v>
      </c>
      <c r="B513" s="1" t="s">
        <v>13</v>
      </c>
      <c r="C513" s="1" t="s">
        <v>21</v>
      </c>
      <c r="D513" s="1" t="s">
        <v>36</v>
      </c>
      <c r="E513" s="10">
        <v>5</v>
      </c>
      <c r="F513" s="10">
        <v>322</v>
      </c>
      <c r="G513" s="1" t="s">
        <v>35</v>
      </c>
      <c r="H513" s="10">
        <f t="shared" si="14"/>
        <v>1610</v>
      </c>
      <c r="I513" s="7">
        <v>1144.400914105421</v>
      </c>
      <c r="J513" s="7">
        <f t="shared" si="15"/>
        <v>465.59908589457905</v>
      </c>
      <c r="K513" s="1">
        <f>IF(B513="North",28.6,
IF(B513="South",13,
IF(B513="East",22.6,
IF(B513="West",19,
23.5))))</f>
        <v>13</v>
      </c>
      <c r="L513" s="1">
        <f>IF(B513="North",77.2,
IF(B513="South",80.2,
IF(B513="East",88.4,
IF(B513="West",72.8,
78.9))))</f>
        <v>80.2</v>
      </c>
    </row>
    <row r="514" spans="1:12" x14ac:dyDescent="0.25">
      <c r="A514" s="5">
        <v>45614</v>
      </c>
      <c r="B514" s="1" t="s">
        <v>12</v>
      </c>
      <c r="C514" s="1" t="s">
        <v>18</v>
      </c>
      <c r="D514" s="1" t="s">
        <v>29</v>
      </c>
      <c r="E514" s="10">
        <v>2</v>
      </c>
      <c r="F514" s="10">
        <v>843</v>
      </c>
      <c r="G514" s="1" t="s">
        <v>34</v>
      </c>
      <c r="H514" s="10">
        <f t="shared" si="14"/>
        <v>1686</v>
      </c>
      <c r="I514" s="7">
        <v>1342.1062533388299</v>
      </c>
      <c r="J514" s="7">
        <f t="shared" si="15"/>
        <v>343.8937466611701</v>
      </c>
      <c r="K514" s="1">
        <f>IF(B514="North",28.6,
IF(B514="South",13,
IF(B514="East",22.6,
IF(B514="West",19,
23.5))))</f>
        <v>22.6</v>
      </c>
      <c r="L514" s="1">
        <f>IF(B514="North",77.2,
IF(B514="South",80.2,
IF(B514="East",88.4,
IF(B514="West",72.8,
78.9))))</f>
        <v>88.4</v>
      </c>
    </row>
    <row r="515" spans="1:12" x14ac:dyDescent="0.25">
      <c r="A515" s="5">
        <v>45356</v>
      </c>
      <c r="B515" s="1" t="s">
        <v>13</v>
      </c>
      <c r="C515" s="1" t="s">
        <v>21</v>
      </c>
      <c r="D515" s="1" t="s">
        <v>26</v>
      </c>
      <c r="E515" s="10">
        <v>1</v>
      </c>
      <c r="F515" s="10">
        <v>562</v>
      </c>
      <c r="G515" s="1" t="s">
        <v>35</v>
      </c>
      <c r="H515" s="10">
        <f t="shared" ref="H515:H578" si="16">E515*F515</f>
        <v>562</v>
      </c>
      <c r="I515" s="7">
        <v>434.46717907166669</v>
      </c>
      <c r="J515" s="7">
        <f t="shared" ref="J515:J578" si="17">H515-I515</f>
        <v>127.53282092833331</v>
      </c>
      <c r="K515" s="1">
        <f>IF(B515="North",28.6,
IF(B515="South",13,
IF(B515="East",22.6,
IF(B515="West",19,
23.5))))</f>
        <v>13</v>
      </c>
      <c r="L515" s="1">
        <f>IF(B515="North",77.2,
IF(B515="South",80.2,
IF(B515="East",88.4,
IF(B515="West",72.8,
78.9))))</f>
        <v>80.2</v>
      </c>
    </row>
    <row r="516" spans="1:12" x14ac:dyDescent="0.25">
      <c r="A516" s="5">
        <v>45459</v>
      </c>
      <c r="B516" s="1" t="s">
        <v>12</v>
      </c>
      <c r="C516" s="1" t="s">
        <v>22</v>
      </c>
      <c r="D516" s="1" t="s">
        <v>29</v>
      </c>
      <c r="E516" s="10">
        <v>16</v>
      </c>
      <c r="F516" s="10">
        <v>1668</v>
      </c>
      <c r="G516" s="1" t="s">
        <v>35</v>
      </c>
      <c r="H516" s="10">
        <f t="shared" si="16"/>
        <v>26688</v>
      </c>
      <c r="I516" s="7">
        <v>17022.027608316552</v>
      </c>
      <c r="J516" s="7">
        <f t="shared" si="17"/>
        <v>9665.9723916834482</v>
      </c>
      <c r="K516" s="1">
        <f>IF(B516="North",28.6,
IF(B516="South",13,
IF(B516="East",22.6,
IF(B516="West",19,
23.5))))</f>
        <v>22.6</v>
      </c>
      <c r="L516" s="1">
        <f>IF(B516="North",77.2,
IF(B516="South",80.2,
IF(B516="East",88.4,
IF(B516="West",72.8,
78.9))))</f>
        <v>88.4</v>
      </c>
    </row>
    <row r="517" spans="1:12" x14ac:dyDescent="0.25">
      <c r="A517" s="5">
        <v>45621</v>
      </c>
      <c r="B517" s="1" t="s">
        <v>13</v>
      </c>
      <c r="C517" s="1" t="s">
        <v>20</v>
      </c>
      <c r="D517" s="1" t="s">
        <v>25</v>
      </c>
      <c r="E517" s="10">
        <v>6</v>
      </c>
      <c r="F517" s="10">
        <v>1399</v>
      </c>
      <c r="G517" s="1" t="s">
        <v>33</v>
      </c>
      <c r="H517" s="10">
        <f t="shared" si="16"/>
        <v>8394</v>
      </c>
      <c r="I517" s="7">
        <v>5627.8211607090752</v>
      </c>
      <c r="J517" s="7">
        <f t="shared" si="17"/>
        <v>2766.1788392909248</v>
      </c>
      <c r="K517" s="1">
        <f>IF(B517="North",28.6,
IF(B517="South",13,
IF(B517="East",22.6,
IF(B517="West",19,
23.5))))</f>
        <v>13</v>
      </c>
      <c r="L517" s="1">
        <f>IF(B517="North",77.2,
IF(B517="South",80.2,
IF(B517="East",88.4,
IF(B517="West",72.8,
78.9))))</f>
        <v>80.2</v>
      </c>
    </row>
    <row r="518" spans="1:12" x14ac:dyDescent="0.25">
      <c r="A518" s="5">
        <v>45334</v>
      </c>
      <c r="B518" s="1" t="s">
        <v>12</v>
      </c>
      <c r="C518" s="1" t="s">
        <v>17</v>
      </c>
      <c r="D518" s="1" t="s">
        <v>31</v>
      </c>
      <c r="E518" s="10">
        <v>16</v>
      </c>
      <c r="F518" s="10">
        <v>1805</v>
      </c>
      <c r="G518" s="1" t="s">
        <v>33</v>
      </c>
      <c r="H518" s="10">
        <f t="shared" si="16"/>
        <v>28880</v>
      </c>
      <c r="I518" s="7">
        <v>20283.483717356819</v>
      </c>
      <c r="J518" s="7">
        <f t="shared" si="17"/>
        <v>8596.5162826431806</v>
      </c>
      <c r="K518" s="1">
        <f>IF(B518="North",28.6,
IF(B518="South",13,
IF(B518="East",22.6,
IF(B518="West",19,
23.5))))</f>
        <v>22.6</v>
      </c>
      <c r="L518" s="1">
        <f>IF(B518="North",77.2,
IF(B518="South",80.2,
IF(B518="East",88.4,
IF(B518="West",72.8,
78.9))))</f>
        <v>88.4</v>
      </c>
    </row>
    <row r="519" spans="1:12" x14ac:dyDescent="0.25">
      <c r="A519" s="5">
        <v>45335</v>
      </c>
      <c r="B519" s="1" t="s">
        <v>12</v>
      </c>
      <c r="C519" s="1" t="s">
        <v>23</v>
      </c>
      <c r="D519" s="1" t="s">
        <v>32</v>
      </c>
      <c r="E519" s="10">
        <v>14</v>
      </c>
      <c r="F519" s="10">
        <v>1263</v>
      </c>
      <c r="G519" s="1" t="s">
        <v>34</v>
      </c>
      <c r="H519" s="10">
        <f t="shared" si="16"/>
        <v>17682</v>
      </c>
      <c r="I519" s="7">
        <v>11646.16127739584</v>
      </c>
      <c r="J519" s="7">
        <f t="shared" si="17"/>
        <v>6035.8387226041596</v>
      </c>
      <c r="K519" s="1">
        <f>IF(B519="North",28.6,
IF(B519="South",13,
IF(B519="East",22.6,
IF(B519="West",19,
23.5))))</f>
        <v>22.6</v>
      </c>
      <c r="L519" s="1">
        <f>IF(B519="North",77.2,
IF(B519="South",80.2,
IF(B519="East",88.4,
IF(B519="West",72.8,
78.9))))</f>
        <v>88.4</v>
      </c>
    </row>
    <row r="520" spans="1:12" x14ac:dyDescent="0.25">
      <c r="A520" s="5">
        <v>45576</v>
      </c>
      <c r="B520" s="1" t="s">
        <v>13</v>
      </c>
      <c r="C520" s="1" t="s">
        <v>17</v>
      </c>
      <c r="D520" s="1" t="s">
        <v>30</v>
      </c>
      <c r="E520" s="10">
        <v>3</v>
      </c>
      <c r="F520" s="10">
        <v>456</v>
      </c>
      <c r="G520" s="1" t="s">
        <v>33</v>
      </c>
      <c r="H520" s="10">
        <f t="shared" si="16"/>
        <v>1368</v>
      </c>
      <c r="I520" s="7">
        <v>882.41493032864253</v>
      </c>
      <c r="J520" s="7">
        <f t="shared" si="17"/>
        <v>485.58506967135747</v>
      </c>
      <c r="K520" s="1">
        <f>IF(B520="North",28.6,
IF(B520="South",13,
IF(B520="East",22.6,
IF(B520="West",19,
23.5))))</f>
        <v>13</v>
      </c>
      <c r="L520" s="1">
        <f>IF(B520="North",77.2,
IF(B520="South",80.2,
IF(B520="East",88.4,
IF(B520="West",72.8,
78.9))))</f>
        <v>80.2</v>
      </c>
    </row>
    <row r="521" spans="1:12" x14ac:dyDescent="0.25">
      <c r="A521" s="5">
        <v>45303</v>
      </c>
      <c r="B521" s="1" t="s">
        <v>11</v>
      </c>
      <c r="C521" s="1" t="s">
        <v>17</v>
      </c>
      <c r="D521" s="1" t="s">
        <v>30</v>
      </c>
      <c r="E521" s="10">
        <v>15</v>
      </c>
      <c r="F521" s="10">
        <v>1836</v>
      </c>
      <c r="G521" s="1" t="s">
        <v>33</v>
      </c>
      <c r="H521" s="10">
        <f t="shared" si="16"/>
        <v>27540</v>
      </c>
      <c r="I521" s="7">
        <v>17004.829976816429</v>
      </c>
      <c r="J521" s="7">
        <f t="shared" si="17"/>
        <v>10535.170023183571</v>
      </c>
      <c r="K521" s="1">
        <f>IF(B521="North",28.6,
IF(B521="South",13,
IF(B521="East",22.6,
IF(B521="West",19,
23.5))))</f>
        <v>19</v>
      </c>
      <c r="L521" s="1">
        <f>IF(B521="North",77.2,
IF(B521="South",80.2,
IF(B521="East",88.4,
IF(B521="West",72.8,
78.9))))</f>
        <v>72.8</v>
      </c>
    </row>
    <row r="522" spans="1:12" x14ac:dyDescent="0.25">
      <c r="A522" s="5">
        <v>45386</v>
      </c>
      <c r="B522" s="1" t="s">
        <v>10</v>
      </c>
      <c r="C522" s="1" t="s">
        <v>19</v>
      </c>
      <c r="D522" s="1" t="s">
        <v>31</v>
      </c>
      <c r="E522" s="10">
        <v>3</v>
      </c>
      <c r="F522" s="10">
        <v>1146</v>
      </c>
      <c r="G522" s="1" t="s">
        <v>35</v>
      </c>
      <c r="H522" s="10">
        <f t="shared" si="16"/>
        <v>3438</v>
      </c>
      <c r="I522" s="7">
        <v>2963.317986169051</v>
      </c>
      <c r="J522" s="7">
        <f t="shared" si="17"/>
        <v>474.68201383094902</v>
      </c>
      <c r="K522" s="1">
        <f>IF(B522="North",28.6,
IF(B522="South",13,
IF(B522="East",22.6,
IF(B522="West",19,
23.5))))</f>
        <v>28.6</v>
      </c>
      <c r="L522" s="1">
        <f>IF(B522="North",77.2,
IF(B522="South",80.2,
IF(B522="East",88.4,
IF(B522="West",72.8,
78.9))))</f>
        <v>77.2</v>
      </c>
    </row>
    <row r="523" spans="1:12" x14ac:dyDescent="0.25">
      <c r="A523" s="5">
        <v>45593</v>
      </c>
      <c r="B523" s="1" t="s">
        <v>11</v>
      </c>
      <c r="C523" s="1" t="s">
        <v>22</v>
      </c>
      <c r="D523" s="1" t="s">
        <v>30</v>
      </c>
      <c r="E523" s="10">
        <v>2</v>
      </c>
      <c r="F523" s="10">
        <v>1859</v>
      </c>
      <c r="G523" s="1" t="s">
        <v>35</v>
      </c>
      <c r="H523" s="10">
        <f t="shared" si="16"/>
        <v>3718</v>
      </c>
      <c r="I523" s="7">
        <v>2553.0874883979982</v>
      </c>
      <c r="J523" s="7">
        <f t="shared" si="17"/>
        <v>1164.9125116020018</v>
      </c>
      <c r="K523" s="1">
        <f>IF(B523="North",28.6,
IF(B523="South",13,
IF(B523="East",22.6,
IF(B523="West",19,
23.5))))</f>
        <v>19</v>
      </c>
      <c r="L523" s="1">
        <f>IF(B523="North",77.2,
IF(B523="South",80.2,
IF(B523="East",88.4,
IF(B523="West",72.8,
78.9))))</f>
        <v>72.8</v>
      </c>
    </row>
    <row r="524" spans="1:12" x14ac:dyDescent="0.25">
      <c r="A524" s="5">
        <v>45544</v>
      </c>
      <c r="B524" s="1" t="s">
        <v>13</v>
      </c>
      <c r="C524" s="1" t="s">
        <v>18</v>
      </c>
      <c r="D524" s="1" t="s">
        <v>32</v>
      </c>
      <c r="E524" s="10">
        <v>1</v>
      </c>
      <c r="F524" s="10">
        <v>1393</v>
      </c>
      <c r="G524" s="1" t="s">
        <v>34</v>
      </c>
      <c r="H524" s="10">
        <f t="shared" si="16"/>
        <v>1393</v>
      </c>
      <c r="I524" s="7">
        <v>957.12498038383728</v>
      </c>
      <c r="J524" s="7">
        <f t="shared" si="17"/>
        <v>435.87501961616272</v>
      </c>
      <c r="K524" s="1">
        <f>IF(B524="North",28.6,
IF(B524="South",13,
IF(B524="East",22.6,
IF(B524="West",19,
23.5))))</f>
        <v>13</v>
      </c>
      <c r="L524" s="1">
        <f>IF(B524="North",77.2,
IF(B524="South",80.2,
IF(B524="East",88.4,
IF(B524="West",72.8,
78.9))))</f>
        <v>80.2</v>
      </c>
    </row>
    <row r="525" spans="1:12" x14ac:dyDescent="0.25">
      <c r="A525" s="5">
        <v>45533</v>
      </c>
      <c r="B525" s="1" t="s">
        <v>11</v>
      </c>
      <c r="C525" s="1" t="s">
        <v>18</v>
      </c>
      <c r="D525" s="1" t="s">
        <v>29</v>
      </c>
      <c r="E525" s="10">
        <v>9</v>
      </c>
      <c r="F525" s="10">
        <v>958</v>
      </c>
      <c r="G525" s="1" t="s">
        <v>34</v>
      </c>
      <c r="H525" s="10">
        <f t="shared" si="16"/>
        <v>8622</v>
      </c>
      <c r="I525" s="7">
        <v>5706.6297002768406</v>
      </c>
      <c r="J525" s="7">
        <f t="shared" si="17"/>
        <v>2915.3702997231594</v>
      </c>
      <c r="K525" s="1">
        <f>IF(B525="North",28.6,
IF(B525="South",13,
IF(B525="East",22.6,
IF(B525="West",19,
23.5))))</f>
        <v>19</v>
      </c>
      <c r="L525" s="1">
        <f>IF(B525="North",77.2,
IF(B525="South",80.2,
IF(B525="East",88.4,
IF(B525="West",72.8,
78.9))))</f>
        <v>72.8</v>
      </c>
    </row>
    <row r="526" spans="1:12" x14ac:dyDescent="0.25">
      <c r="A526" s="5">
        <v>45326</v>
      </c>
      <c r="B526" s="1" t="s">
        <v>12</v>
      </c>
      <c r="C526" s="1" t="s">
        <v>23</v>
      </c>
      <c r="D526" s="1" t="s">
        <v>30</v>
      </c>
      <c r="E526" s="10">
        <v>9</v>
      </c>
      <c r="F526" s="10">
        <v>764</v>
      </c>
      <c r="G526" s="1" t="s">
        <v>34</v>
      </c>
      <c r="H526" s="10">
        <f t="shared" si="16"/>
        <v>6876</v>
      </c>
      <c r="I526" s="7">
        <v>5106.2496986808173</v>
      </c>
      <c r="J526" s="7">
        <f t="shared" si="17"/>
        <v>1769.7503013191827</v>
      </c>
      <c r="K526" s="1">
        <f>IF(B526="North",28.6,
IF(B526="South",13,
IF(B526="East",22.6,
IF(B526="West",19,
23.5))))</f>
        <v>22.6</v>
      </c>
      <c r="L526" s="1">
        <f>IF(B526="North",77.2,
IF(B526="South",80.2,
IF(B526="East",88.4,
IF(B526="West",72.8,
78.9))))</f>
        <v>88.4</v>
      </c>
    </row>
    <row r="527" spans="1:12" x14ac:dyDescent="0.25">
      <c r="A527" s="5">
        <v>45506</v>
      </c>
      <c r="B527" s="1" t="s">
        <v>10</v>
      </c>
      <c r="C527" s="1" t="s">
        <v>20</v>
      </c>
      <c r="D527" s="1" t="s">
        <v>31</v>
      </c>
      <c r="E527" s="10">
        <v>10</v>
      </c>
      <c r="F527" s="10">
        <v>1456</v>
      </c>
      <c r="G527" s="1" t="s">
        <v>33</v>
      </c>
      <c r="H527" s="10">
        <f t="shared" si="16"/>
        <v>14560</v>
      </c>
      <c r="I527" s="7">
        <f>H527*0.7</f>
        <v>10192</v>
      </c>
      <c r="J527" s="7">
        <f t="shared" si="17"/>
        <v>4368</v>
      </c>
      <c r="K527" s="1">
        <f>IF(B527="North",28.6,
IF(B527="South",13,
IF(B527="East",22.6,
IF(B527="West",19,
23.5))))</f>
        <v>28.6</v>
      </c>
      <c r="L527" s="1">
        <f>IF(B527="North",77.2,
IF(B527="South",80.2,
IF(B527="East",88.4,
IF(B527="West",72.8,
78.9))))</f>
        <v>77.2</v>
      </c>
    </row>
    <row r="528" spans="1:12" x14ac:dyDescent="0.25">
      <c r="A528" s="5">
        <v>45628</v>
      </c>
      <c r="B528" s="1" t="s">
        <v>13</v>
      </c>
      <c r="C528" s="1" t="s">
        <v>19</v>
      </c>
      <c r="D528" s="1" t="s">
        <v>28</v>
      </c>
      <c r="E528" s="10">
        <v>3</v>
      </c>
      <c r="F528" s="10">
        <v>1114</v>
      </c>
      <c r="G528" s="1" t="s">
        <v>35</v>
      </c>
      <c r="H528" s="10">
        <f t="shared" si="16"/>
        <v>3342</v>
      </c>
      <c r="I528" s="7">
        <v>2214.0228901575051</v>
      </c>
      <c r="J528" s="7">
        <f t="shared" si="17"/>
        <v>1127.9771098424949</v>
      </c>
      <c r="K528" s="1">
        <f>IF(B528="North",28.6,
IF(B528="South",13,
IF(B528="East",22.6,
IF(B528="West",19,
23.5))))</f>
        <v>13</v>
      </c>
      <c r="L528" s="1">
        <f>IF(B528="North",77.2,
IF(B528="South",80.2,
IF(B528="East",88.4,
IF(B528="West",72.8,
78.9))))</f>
        <v>80.2</v>
      </c>
    </row>
    <row r="529" spans="1:12" x14ac:dyDescent="0.25">
      <c r="A529" s="5">
        <v>45381</v>
      </c>
      <c r="B529" s="1" t="s">
        <v>13</v>
      </c>
      <c r="C529" s="1" t="s">
        <v>24</v>
      </c>
      <c r="D529" s="1" t="s">
        <v>28</v>
      </c>
      <c r="E529" s="10">
        <v>18</v>
      </c>
      <c r="F529" s="10">
        <v>184</v>
      </c>
      <c r="G529" s="1" t="s">
        <v>35</v>
      </c>
      <c r="H529" s="10">
        <f t="shared" si="16"/>
        <v>3312</v>
      </c>
      <c r="I529" s="7">
        <v>2591.875487701323</v>
      </c>
      <c r="J529" s="7">
        <f t="shared" si="17"/>
        <v>720.12451229867702</v>
      </c>
      <c r="K529" s="1">
        <f>IF(B529="North",28.6,
IF(B529="South",13,
IF(B529="East",22.6,
IF(B529="West",19,
23.5))))</f>
        <v>13</v>
      </c>
      <c r="L529" s="1">
        <f>IF(B529="North",77.2,
IF(B529="South",80.2,
IF(B529="East",88.4,
IF(B529="West",72.8,
78.9))))</f>
        <v>80.2</v>
      </c>
    </row>
    <row r="530" spans="1:12" x14ac:dyDescent="0.25">
      <c r="A530" s="5">
        <v>45555</v>
      </c>
      <c r="B530" s="1" t="s">
        <v>13</v>
      </c>
      <c r="C530" s="1" t="s">
        <v>20</v>
      </c>
      <c r="D530" s="1" t="s">
        <v>27</v>
      </c>
      <c r="E530" s="10">
        <v>11</v>
      </c>
      <c r="F530" s="10">
        <v>720</v>
      </c>
      <c r="G530" s="1" t="s">
        <v>33</v>
      </c>
      <c r="H530" s="10">
        <f t="shared" si="16"/>
        <v>7920</v>
      </c>
      <c r="I530" s="7">
        <v>6469.8479039947479</v>
      </c>
      <c r="J530" s="7">
        <f t="shared" si="17"/>
        <v>1450.1520960052521</v>
      </c>
      <c r="K530" s="1">
        <f>IF(B530="North",28.6,
IF(B530="South",13,
IF(B530="East",22.6,
IF(B530="West",19,
23.5))))</f>
        <v>13</v>
      </c>
      <c r="L530" s="1">
        <f>IF(B530="North",77.2,
IF(B530="South",80.2,
IF(B530="East",88.4,
IF(B530="West",72.8,
78.9))))</f>
        <v>80.2</v>
      </c>
    </row>
    <row r="531" spans="1:12" x14ac:dyDescent="0.25">
      <c r="A531" s="5">
        <v>45384</v>
      </c>
      <c r="B531" s="1" t="s">
        <v>10</v>
      </c>
      <c r="C531" s="1" t="s">
        <v>21</v>
      </c>
      <c r="D531" s="1" t="s">
        <v>25</v>
      </c>
      <c r="E531" s="10">
        <v>7</v>
      </c>
      <c r="F531" s="10">
        <v>1154</v>
      </c>
      <c r="G531" s="1" t="s">
        <v>35</v>
      </c>
      <c r="H531" s="10">
        <f t="shared" si="16"/>
        <v>8078</v>
      </c>
      <c r="I531" s="7">
        <v>5752.7640643286759</v>
      </c>
      <c r="J531" s="7">
        <f t="shared" si="17"/>
        <v>2325.2359356713241</v>
      </c>
      <c r="K531" s="1">
        <f>IF(B531="North",28.6,
IF(B531="South",13,
IF(B531="East",22.6,
IF(B531="West",19,
23.5))))</f>
        <v>28.6</v>
      </c>
      <c r="L531" s="1">
        <f>IF(B531="North",77.2,
IF(B531="South",80.2,
IF(B531="East",88.4,
IF(B531="West",72.8,
78.9))))</f>
        <v>77.2</v>
      </c>
    </row>
    <row r="532" spans="1:12" x14ac:dyDescent="0.25">
      <c r="A532" s="5">
        <v>45381</v>
      </c>
      <c r="B532" s="1" t="s">
        <v>12</v>
      </c>
      <c r="C532" s="1" t="s">
        <v>20</v>
      </c>
      <c r="D532" s="1" t="s">
        <v>30</v>
      </c>
      <c r="E532" s="10">
        <v>9</v>
      </c>
      <c r="F532" s="10">
        <v>1864</v>
      </c>
      <c r="G532" s="1" t="s">
        <v>33</v>
      </c>
      <c r="H532" s="10">
        <f t="shared" si="16"/>
        <v>16776</v>
      </c>
      <c r="I532" s="7">
        <v>13012.06129994412</v>
      </c>
      <c r="J532" s="7">
        <f t="shared" si="17"/>
        <v>3763.93870005588</v>
      </c>
      <c r="K532" s="1">
        <f>IF(B532="North",28.6,
IF(B532="South",13,
IF(B532="East",22.6,
IF(B532="West",19,
23.5))))</f>
        <v>22.6</v>
      </c>
      <c r="L532" s="1">
        <f>IF(B532="North",77.2,
IF(B532="South",80.2,
IF(B532="East",88.4,
IF(B532="West",72.8,
78.9))))</f>
        <v>88.4</v>
      </c>
    </row>
    <row r="533" spans="1:12" x14ac:dyDescent="0.25">
      <c r="A533" s="5">
        <v>45406</v>
      </c>
      <c r="B533" s="1" t="s">
        <v>13</v>
      </c>
      <c r="C533" s="1" t="s">
        <v>20</v>
      </c>
      <c r="D533" s="1" t="s">
        <v>25</v>
      </c>
      <c r="E533" s="10">
        <v>1</v>
      </c>
      <c r="F533" s="10">
        <v>339</v>
      </c>
      <c r="G533" s="1" t="s">
        <v>33</v>
      </c>
      <c r="H533" s="10">
        <f t="shared" si="16"/>
        <v>339</v>
      </c>
      <c r="I533" s="7">
        <v>254.4841037552242</v>
      </c>
      <c r="J533" s="7">
        <f t="shared" si="17"/>
        <v>84.515896244775803</v>
      </c>
      <c r="K533" s="1">
        <f>IF(B533="North",28.6,
IF(B533="South",13,
IF(B533="East",22.6,
IF(B533="West",19,
23.5))))</f>
        <v>13</v>
      </c>
      <c r="L533" s="1">
        <f>IF(B533="North",77.2,
IF(B533="South",80.2,
IF(B533="East",88.4,
IF(B533="West",72.8,
78.9))))</f>
        <v>80.2</v>
      </c>
    </row>
    <row r="534" spans="1:12" x14ac:dyDescent="0.25">
      <c r="A534" s="5">
        <v>45396</v>
      </c>
      <c r="B534" s="1" t="s">
        <v>11</v>
      </c>
      <c r="C534" s="1" t="s">
        <v>17</v>
      </c>
      <c r="D534" s="1" t="s">
        <v>29</v>
      </c>
      <c r="E534" s="10">
        <v>14</v>
      </c>
      <c r="F534" s="10">
        <v>462</v>
      </c>
      <c r="G534" s="1" t="s">
        <v>33</v>
      </c>
      <c r="H534" s="10">
        <f t="shared" si="16"/>
        <v>6468</v>
      </c>
      <c r="I534" s="7">
        <v>4260.24211217018</v>
      </c>
      <c r="J534" s="7">
        <f t="shared" si="17"/>
        <v>2207.75788782982</v>
      </c>
      <c r="K534" s="1">
        <f>IF(B534="North",28.6,
IF(B534="South",13,
IF(B534="East",22.6,
IF(B534="West",19,
23.5))))</f>
        <v>19</v>
      </c>
      <c r="L534" s="1">
        <f>IF(B534="North",77.2,
IF(B534="South",80.2,
IF(B534="East",88.4,
IF(B534="West",72.8,
78.9))))</f>
        <v>72.8</v>
      </c>
    </row>
    <row r="535" spans="1:12" x14ac:dyDescent="0.25">
      <c r="A535" s="5">
        <v>45487</v>
      </c>
      <c r="B535" s="1" t="s">
        <v>13</v>
      </c>
      <c r="C535" s="1" t="s">
        <v>20</v>
      </c>
      <c r="D535" s="1" t="s">
        <v>31</v>
      </c>
      <c r="E535" s="10">
        <v>6</v>
      </c>
      <c r="F535" s="10">
        <v>921</v>
      </c>
      <c r="G535" s="1" t="s">
        <v>33</v>
      </c>
      <c r="H535" s="10">
        <f t="shared" si="16"/>
        <v>5526</v>
      </c>
      <c r="I535" s="7">
        <v>4525.8122171904952</v>
      </c>
      <c r="J535" s="7">
        <f t="shared" si="17"/>
        <v>1000.1877828095048</v>
      </c>
      <c r="K535" s="1">
        <f>IF(B535="North",28.6,
IF(B535="South",13,
IF(B535="East",22.6,
IF(B535="West",19,
23.5))))</f>
        <v>13</v>
      </c>
      <c r="L535" s="1">
        <f>IF(B535="North",77.2,
IF(B535="South",80.2,
IF(B535="East",88.4,
IF(B535="West",72.8,
78.9))))</f>
        <v>80.2</v>
      </c>
    </row>
    <row r="536" spans="1:12" x14ac:dyDescent="0.25">
      <c r="A536" s="5">
        <v>45605</v>
      </c>
      <c r="B536" s="1" t="s">
        <v>13</v>
      </c>
      <c r="C536" s="1" t="s">
        <v>18</v>
      </c>
      <c r="D536" s="1" t="s">
        <v>30</v>
      </c>
      <c r="E536" s="10">
        <v>7</v>
      </c>
      <c r="F536" s="10">
        <v>1512</v>
      </c>
      <c r="G536" s="1" t="s">
        <v>34</v>
      </c>
      <c r="H536" s="10">
        <f t="shared" si="16"/>
        <v>10584</v>
      </c>
      <c r="I536" s="7">
        <v>8895.1736539469148</v>
      </c>
      <c r="J536" s="7">
        <f t="shared" si="17"/>
        <v>1688.8263460530852</v>
      </c>
      <c r="K536" s="1">
        <f>IF(B536="North",28.6,
IF(B536="South",13,
IF(B536="East",22.6,
IF(B536="West",19,
23.5))))</f>
        <v>13</v>
      </c>
      <c r="L536" s="1">
        <f>IF(B536="North",77.2,
IF(B536="South",80.2,
IF(B536="East",88.4,
IF(B536="West",72.8,
78.9))))</f>
        <v>80.2</v>
      </c>
    </row>
    <row r="537" spans="1:12" x14ac:dyDescent="0.25">
      <c r="A537" s="5">
        <v>45405</v>
      </c>
      <c r="B537" s="1" t="s">
        <v>13</v>
      </c>
      <c r="C537" s="1" t="s">
        <v>21</v>
      </c>
      <c r="D537" s="1" t="s">
        <v>26</v>
      </c>
      <c r="E537" s="10">
        <v>10</v>
      </c>
      <c r="F537" s="10">
        <v>1776</v>
      </c>
      <c r="G537" s="1" t="s">
        <v>35</v>
      </c>
      <c r="H537" s="10">
        <f t="shared" si="16"/>
        <v>17760</v>
      </c>
      <c r="I537" s="7">
        <v>14112.769719848429</v>
      </c>
      <c r="J537" s="7">
        <f t="shared" si="17"/>
        <v>3647.2302801515707</v>
      </c>
      <c r="K537" s="1">
        <f>IF(B537="North",28.6,
IF(B537="South",13,
IF(B537="East",22.6,
IF(B537="West",19,
23.5))))</f>
        <v>13</v>
      </c>
      <c r="L537" s="1">
        <f>IF(B537="North",77.2,
IF(B537="South",80.2,
IF(B537="East",88.4,
IF(B537="West",72.8,
78.9))))</f>
        <v>80.2</v>
      </c>
    </row>
    <row r="538" spans="1:12" x14ac:dyDescent="0.25">
      <c r="A538" s="5">
        <v>45366</v>
      </c>
      <c r="B538" s="1" t="s">
        <v>36</v>
      </c>
      <c r="C538" s="1" t="s">
        <v>21</v>
      </c>
      <c r="D538" s="1" t="s">
        <v>32</v>
      </c>
      <c r="E538" s="10">
        <v>7</v>
      </c>
      <c r="F538" s="10">
        <v>767</v>
      </c>
      <c r="G538" s="1" t="s">
        <v>35</v>
      </c>
      <c r="H538" s="10">
        <f t="shared" si="16"/>
        <v>5369</v>
      </c>
      <c r="I538" s="7">
        <v>3743.0993319308318</v>
      </c>
      <c r="J538" s="7">
        <f t="shared" si="17"/>
        <v>1625.9006680691682</v>
      </c>
      <c r="K538" s="1">
        <f>IF(B538="North",28.6,
IF(B538="South",13,
IF(B538="East",22.6,
IF(B538="West",19,
23.5))))</f>
        <v>23.5</v>
      </c>
      <c r="L538" s="1">
        <f>IF(B538="North",77.2,
IF(B538="South",80.2,
IF(B538="East",88.4,
IF(B538="West",72.8,
78.9))))</f>
        <v>78.900000000000006</v>
      </c>
    </row>
    <row r="539" spans="1:12" x14ac:dyDescent="0.25">
      <c r="A539" s="5">
        <v>45508</v>
      </c>
      <c r="B539" s="1" t="s">
        <v>12</v>
      </c>
      <c r="C539" s="1" t="s">
        <v>22</v>
      </c>
      <c r="D539" s="1" t="s">
        <v>30</v>
      </c>
      <c r="E539" s="10">
        <v>2</v>
      </c>
      <c r="F539" s="10">
        <v>1422</v>
      </c>
      <c r="G539" s="1" t="s">
        <v>35</v>
      </c>
      <c r="H539" s="10">
        <f t="shared" si="16"/>
        <v>2844</v>
      </c>
      <c r="I539" s="7">
        <v>2497.1393562300159</v>
      </c>
      <c r="J539" s="7">
        <f t="shared" si="17"/>
        <v>346.86064376998411</v>
      </c>
      <c r="K539" s="1">
        <f>IF(B539="North",28.6,
IF(B539="South",13,
IF(B539="East",22.6,
IF(B539="West",19,
23.5))))</f>
        <v>22.6</v>
      </c>
      <c r="L539" s="1">
        <f>IF(B539="North",77.2,
IF(B539="South",80.2,
IF(B539="East",88.4,
IF(B539="West",72.8,
78.9))))</f>
        <v>88.4</v>
      </c>
    </row>
    <row r="540" spans="1:12" x14ac:dyDescent="0.25">
      <c r="A540" s="5">
        <v>45568</v>
      </c>
      <c r="B540" s="1" t="s">
        <v>11</v>
      </c>
      <c r="C540" s="1" t="s">
        <v>20</v>
      </c>
      <c r="D540" s="1" t="s">
        <v>30</v>
      </c>
      <c r="E540" s="10">
        <v>4</v>
      </c>
      <c r="F540" s="10">
        <v>1980</v>
      </c>
      <c r="G540" s="1" t="s">
        <v>33</v>
      </c>
      <c r="H540" s="10">
        <f t="shared" si="16"/>
        <v>7920</v>
      </c>
      <c r="I540" s="7">
        <v>5833.931529876415</v>
      </c>
      <c r="J540" s="7">
        <f t="shared" si="17"/>
        <v>2086.068470123585</v>
      </c>
      <c r="K540" s="1">
        <f>IF(B540="North",28.6,
IF(B540="South",13,
IF(B540="East",22.6,
IF(B540="West",19,
23.5))))</f>
        <v>19</v>
      </c>
      <c r="L540" s="1">
        <f>IF(B540="North",77.2,
IF(B540="South",80.2,
IF(B540="East",88.4,
IF(B540="West",72.8,
78.9))))</f>
        <v>72.8</v>
      </c>
    </row>
    <row r="541" spans="1:12" x14ac:dyDescent="0.25">
      <c r="A541" s="5">
        <v>45540</v>
      </c>
      <c r="B541" s="1" t="s">
        <v>12</v>
      </c>
      <c r="C541" s="1" t="s">
        <v>17</v>
      </c>
      <c r="D541" s="1" t="s">
        <v>25</v>
      </c>
      <c r="E541" s="10">
        <v>10</v>
      </c>
      <c r="F541" s="10">
        <v>1494</v>
      </c>
      <c r="G541" s="1" t="s">
        <v>33</v>
      </c>
      <c r="H541" s="10">
        <f t="shared" si="16"/>
        <v>14940</v>
      </c>
      <c r="I541" s="7">
        <f>H541*0.7</f>
        <v>10458</v>
      </c>
      <c r="J541" s="7">
        <f t="shared" si="17"/>
        <v>4482</v>
      </c>
      <c r="K541" s="1">
        <f>IF(B541="North",28.6,
IF(B541="South",13,
IF(B541="East",22.6,
IF(B541="West",19,
23.5))))</f>
        <v>22.6</v>
      </c>
      <c r="L541" s="1">
        <f>IF(B541="North",77.2,
IF(B541="South",80.2,
IF(B541="East",88.4,
IF(B541="West",72.8,
78.9))))</f>
        <v>88.4</v>
      </c>
    </row>
    <row r="542" spans="1:12" x14ac:dyDescent="0.25">
      <c r="A542" s="5">
        <v>45455</v>
      </c>
      <c r="B542" s="1" t="s">
        <v>11</v>
      </c>
      <c r="C542" s="1" t="s">
        <v>20</v>
      </c>
      <c r="D542" s="1" t="s">
        <v>25</v>
      </c>
      <c r="E542" s="10">
        <v>1</v>
      </c>
      <c r="F542" s="10">
        <v>198</v>
      </c>
      <c r="G542" s="1" t="s">
        <v>33</v>
      </c>
      <c r="H542" s="10">
        <f t="shared" si="16"/>
        <v>198</v>
      </c>
      <c r="I542" s="7">
        <v>143.0491364768242</v>
      </c>
      <c r="J542" s="7">
        <f t="shared" si="17"/>
        <v>54.950863523175798</v>
      </c>
      <c r="K542" s="1">
        <f>IF(B542="North",28.6,
IF(B542="South",13,
IF(B542="East",22.6,
IF(B542="West",19,
23.5))))</f>
        <v>19</v>
      </c>
      <c r="L542" s="1">
        <f>IF(B542="North",77.2,
IF(B542="South",80.2,
IF(B542="East",88.4,
IF(B542="West",72.8,
78.9))))</f>
        <v>72.8</v>
      </c>
    </row>
    <row r="543" spans="1:12" x14ac:dyDescent="0.25">
      <c r="A543" s="5">
        <v>45648</v>
      </c>
      <c r="B543" s="1" t="s">
        <v>13</v>
      </c>
      <c r="C543" s="1" t="s">
        <v>24</v>
      </c>
      <c r="D543" s="1" t="s">
        <v>28</v>
      </c>
      <c r="E543" s="10">
        <v>10</v>
      </c>
      <c r="F543" s="10">
        <v>146</v>
      </c>
      <c r="G543" s="1" t="s">
        <v>35</v>
      </c>
      <c r="H543" s="10">
        <f t="shared" si="16"/>
        <v>1460</v>
      </c>
      <c r="I543" s="7">
        <v>1179.128890255796</v>
      </c>
      <c r="J543" s="7">
        <f t="shared" si="17"/>
        <v>280.87110974420398</v>
      </c>
      <c r="K543" s="1">
        <f>IF(B543="North",28.6,
IF(B543="South",13,
IF(B543="East",22.6,
IF(B543="West",19,
23.5))))</f>
        <v>13</v>
      </c>
      <c r="L543" s="1">
        <f>IF(B543="North",77.2,
IF(B543="South",80.2,
IF(B543="East",88.4,
IF(B543="West",72.8,
78.9))))</f>
        <v>80.2</v>
      </c>
    </row>
    <row r="544" spans="1:12" x14ac:dyDescent="0.25">
      <c r="A544" s="5">
        <v>45483</v>
      </c>
      <c r="B544" s="1" t="s">
        <v>10</v>
      </c>
      <c r="C544" s="1" t="s">
        <v>24</v>
      </c>
      <c r="D544" s="1" t="s">
        <v>32</v>
      </c>
      <c r="E544" s="10">
        <v>19</v>
      </c>
      <c r="F544" s="10">
        <v>938</v>
      </c>
      <c r="G544" s="1" t="s">
        <v>35</v>
      </c>
      <c r="H544" s="10">
        <f t="shared" si="16"/>
        <v>17822</v>
      </c>
      <c r="I544" s="7">
        <v>15216.058885205741</v>
      </c>
      <c r="J544" s="7">
        <f t="shared" si="17"/>
        <v>2605.9411147942592</v>
      </c>
      <c r="K544" s="1">
        <f>IF(B544="North",28.6,
IF(B544="South",13,
IF(B544="East",22.6,
IF(B544="West",19,
23.5))))</f>
        <v>28.6</v>
      </c>
      <c r="L544" s="1">
        <f>IF(B544="North",77.2,
IF(B544="South",80.2,
IF(B544="East",88.4,
IF(B544="West",72.8,
78.9))))</f>
        <v>77.2</v>
      </c>
    </row>
    <row r="545" spans="1:12" x14ac:dyDescent="0.25">
      <c r="A545" s="5">
        <v>45518</v>
      </c>
      <c r="B545" s="1" t="s">
        <v>12</v>
      </c>
      <c r="C545" s="1" t="s">
        <v>17</v>
      </c>
      <c r="D545" s="1" t="s">
        <v>31</v>
      </c>
      <c r="E545" s="10">
        <v>15</v>
      </c>
      <c r="F545" s="10">
        <v>521</v>
      </c>
      <c r="G545" s="1" t="s">
        <v>33</v>
      </c>
      <c r="H545" s="10">
        <f t="shared" si="16"/>
        <v>7815</v>
      </c>
      <c r="I545" s="7">
        <v>5524.9912580686942</v>
      </c>
      <c r="J545" s="7">
        <f t="shared" si="17"/>
        <v>2290.0087419313058</v>
      </c>
      <c r="K545" s="1">
        <f>IF(B545="North",28.6,
IF(B545="South",13,
IF(B545="East",22.6,
IF(B545="West",19,
23.5))))</f>
        <v>22.6</v>
      </c>
      <c r="L545" s="1">
        <f>IF(B545="North",77.2,
IF(B545="South",80.2,
IF(B545="East",88.4,
IF(B545="West",72.8,
78.9))))</f>
        <v>88.4</v>
      </c>
    </row>
    <row r="546" spans="1:12" x14ac:dyDescent="0.25">
      <c r="A546" s="5">
        <v>45468</v>
      </c>
      <c r="B546" s="1" t="s">
        <v>10</v>
      </c>
      <c r="C546" s="1" t="s">
        <v>22</v>
      </c>
      <c r="D546" s="1" t="s">
        <v>30</v>
      </c>
      <c r="E546" s="10">
        <v>10</v>
      </c>
      <c r="F546" s="10">
        <v>1603</v>
      </c>
      <c r="G546" s="1" t="s">
        <v>35</v>
      </c>
      <c r="H546" s="10">
        <f t="shared" si="16"/>
        <v>16030</v>
      </c>
      <c r="I546" s="7">
        <v>10736.690960859079</v>
      </c>
      <c r="J546" s="7">
        <f t="shared" si="17"/>
        <v>5293.3090391409205</v>
      </c>
      <c r="K546" s="1">
        <f>IF(B546="North",28.6,
IF(B546="South",13,
IF(B546="East",22.6,
IF(B546="West",19,
23.5))))</f>
        <v>28.6</v>
      </c>
      <c r="L546" s="1">
        <f>IF(B546="North",77.2,
IF(B546="South",80.2,
IF(B546="East",88.4,
IF(B546="West",72.8,
78.9))))</f>
        <v>77.2</v>
      </c>
    </row>
    <row r="547" spans="1:12" x14ac:dyDescent="0.25">
      <c r="A547" s="5">
        <v>45390</v>
      </c>
      <c r="B547" s="1" t="s">
        <v>12</v>
      </c>
      <c r="C547" s="1" t="s">
        <v>22</v>
      </c>
      <c r="D547" s="1" t="s">
        <v>28</v>
      </c>
      <c r="E547" s="10">
        <v>19</v>
      </c>
      <c r="F547" s="10">
        <v>1702</v>
      </c>
      <c r="G547" s="1" t="s">
        <v>35</v>
      </c>
      <c r="H547" s="10">
        <f t="shared" si="16"/>
        <v>32338</v>
      </c>
      <c r="I547" s="7">
        <v>25480.660469186059</v>
      </c>
      <c r="J547" s="7">
        <f t="shared" si="17"/>
        <v>6857.3395308139407</v>
      </c>
      <c r="K547" s="1">
        <f>IF(B547="North",28.6,
IF(B547="South",13,
IF(B547="East",22.6,
IF(B547="West",19,
23.5))))</f>
        <v>22.6</v>
      </c>
      <c r="L547" s="1">
        <f>IF(B547="North",77.2,
IF(B547="South",80.2,
IF(B547="East",88.4,
IF(B547="West",72.8,
78.9))))</f>
        <v>88.4</v>
      </c>
    </row>
    <row r="548" spans="1:12" x14ac:dyDescent="0.25">
      <c r="A548" s="5">
        <v>45327</v>
      </c>
      <c r="B548" s="1" t="s">
        <v>13</v>
      </c>
      <c r="C548" s="1" t="s">
        <v>21</v>
      </c>
      <c r="D548" s="1" t="s">
        <v>25</v>
      </c>
      <c r="E548" s="10">
        <v>12</v>
      </c>
      <c r="F548" s="10">
        <v>161</v>
      </c>
      <c r="G548" s="1" t="s">
        <v>35</v>
      </c>
      <c r="H548" s="10">
        <f t="shared" si="16"/>
        <v>1932</v>
      </c>
      <c r="I548" s="7">
        <v>1693.136272021603</v>
      </c>
      <c r="J548" s="7">
        <f t="shared" si="17"/>
        <v>238.86372797839704</v>
      </c>
      <c r="K548" s="1">
        <f>IF(B548="North",28.6,
IF(B548="South",13,
IF(B548="East",22.6,
IF(B548="West",19,
23.5))))</f>
        <v>13</v>
      </c>
      <c r="L548" s="1">
        <f>IF(B548="North",77.2,
IF(B548="South",80.2,
IF(B548="East",88.4,
IF(B548="West",72.8,
78.9))))</f>
        <v>80.2</v>
      </c>
    </row>
    <row r="549" spans="1:12" x14ac:dyDescent="0.25">
      <c r="A549" s="5">
        <v>45387</v>
      </c>
      <c r="B549" s="1" t="s">
        <v>12</v>
      </c>
      <c r="C549" s="1" t="s">
        <v>21</v>
      </c>
      <c r="D549" s="1" t="s">
        <v>27</v>
      </c>
      <c r="E549" s="10">
        <v>16</v>
      </c>
      <c r="F549" s="10">
        <v>1232</v>
      </c>
      <c r="G549" s="1" t="s">
        <v>35</v>
      </c>
      <c r="H549" s="10">
        <f t="shared" si="16"/>
        <v>19712</v>
      </c>
      <c r="I549" s="7">
        <v>12911.123634744999</v>
      </c>
      <c r="J549" s="7">
        <f t="shared" si="17"/>
        <v>6800.8763652550006</v>
      </c>
      <c r="K549" s="1">
        <f>IF(B549="North",28.6,
IF(B549="South",13,
IF(B549="East",22.6,
IF(B549="West",19,
23.5))))</f>
        <v>22.6</v>
      </c>
      <c r="L549" s="1">
        <f>IF(B549="North",77.2,
IF(B549="South",80.2,
IF(B549="East",88.4,
IF(B549="West",72.8,
78.9))))</f>
        <v>88.4</v>
      </c>
    </row>
    <row r="550" spans="1:12" x14ac:dyDescent="0.25">
      <c r="A550" s="5">
        <v>45443</v>
      </c>
      <c r="B550" s="1" t="s">
        <v>13</v>
      </c>
      <c r="C550" s="1" t="s">
        <v>19</v>
      </c>
      <c r="D550" s="1" t="s">
        <v>32</v>
      </c>
      <c r="E550" s="10">
        <v>9</v>
      </c>
      <c r="F550" s="10">
        <v>1802</v>
      </c>
      <c r="G550" s="1" t="s">
        <v>35</v>
      </c>
      <c r="H550" s="10">
        <f t="shared" si="16"/>
        <v>16218</v>
      </c>
      <c r="I550" s="7">
        <v>13637.81050263934</v>
      </c>
      <c r="J550" s="7">
        <f t="shared" si="17"/>
        <v>2580.1894973606595</v>
      </c>
      <c r="K550" s="1">
        <f>IF(B550="North",28.6,
IF(B550="South",13,
IF(B550="East",22.6,
IF(B550="West",19,
23.5))))</f>
        <v>13</v>
      </c>
      <c r="L550" s="1">
        <f>IF(B550="North",77.2,
IF(B550="South",80.2,
IF(B550="East",88.4,
IF(B550="West",72.8,
78.9))))</f>
        <v>80.2</v>
      </c>
    </row>
    <row r="551" spans="1:12" x14ac:dyDescent="0.25">
      <c r="A551" s="5">
        <v>45442</v>
      </c>
      <c r="B551" s="1" t="s">
        <v>12</v>
      </c>
      <c r="C551" s="1" t="s">
        <v>17</v>
      </c>
      <c r="D551" s="1" t="s">
        <v>28</v>
      </c>
      <c r="E551" s="10">
        <v>15</v>
      </c>
      <c r="F551" s="10">
        <v>1672</v>
      </c>
      <c r="G551" s="1" t="s">
        <v>33</v>
      </c>
      <c r="H551" s="10">
        <f t="shared" si="16"/>
        <v>25080</v>
      </c>
      <c r="I551" s="7">
        <v>18633.99243351183</v>
      </c>
      <c r="J551" s="7">
        <f t="shared" si="17"/>
        <v>6446.0075664881697</v>
      </c>
      <c r="K551" s="1">
        <f>IF(B551="North",28.6,
IF(B551="South",13,
IF(B551="East",22.6,
IF(B551="West",19,
23.5))))</f>
        <v>22.6</v>
      </c>
      <c r="L551" s="1">
        <f>IF(B551="North",77.2,
IF(B551="South",80.2,
IF(B551="East",88.4,
IF(B551="West",72.8,
78.9))))</f>
        <v>88.4</v>
      </c>
    </row>
    <row r="552" spans="1:12" x14ac:dyDescent="0.25">
      <c r="A552" s="5">
        <v>45481</v>
      </c>
      <c r="B552" s="1" t="s">
        <v>13</v>
      </c>
      <c r="C552" s="1" t="s">
        <v>20</v>
      </c>
      <c r="D552" s="1" t="s">
        <v>28</v>
      </c>
      <c r="E552" s="10">
        <v>17</v>
      </c>
      <c r="F552" s="10">
        <v>1242</v>
      </c>
      <c r="G552" s="1" t="s">
        <v>33</v>
      </c>
      <c r="H552" s="10">
        <f t="shared" si="16"/>
        <v>21114</v>
      </c>
      <c r="I552" s="7">
        <v>17732.67210259668</v>
      </c>
      <c r="J552" s="7">
        <f t="shared" si="17"/>
        <v>3381.3278974033201</v>
      </c>
      <c r="K552" s="1">
        <f>IF(B552="North",28.6,
IF(B552="South",13,
IF(B552="East",22.6,
IF(B552="West",19,
23.5))))</f>
        <v>13</v>
      </c>
      <c r="L552" s="1">
        <f>IF(B552="North",77.2,
IF(B552="South",80.2,
IF(B552="East",88.4,
IF(B552="West",72.8,
78.9))))</f>
        <v>80.2</v>
      </c>
    </row>
    <row r="553" spans="1:12" x14ac:dyDescent="0.25">
      <c r="A553" s="5">
        <v>45515</v>
      </c>
      <c r="B553" s="1" t="s">
        <v>13</v>
      </c>
      <c r="C553" s="1" t="s">
        <v>23</v>
      </c>
      <c r="D553" s="1" t="s">
        <v>29</v>
      </c>
      <c r="E553" s="10">
        <v>14</v>
      </c>
      <c r="F553" s="10">
        <v>1109</v>
      </c>
      <c r="G553" s="1" t="s">
        <v>34</v>
      </c>
      <c r="H553" s="10">
        <f t="shared" si="16"/>
        <v>15526</v>
      </c>
      <c r="I553" s="7">
        <v>11670.30956741403</v>
      </c>
      <c r="J553" s="7">
        <f t="shared" si="17"/>
        <v>3855.6904325859705</v>
      </c>
      <c r="K553" s="1">
        <f>IF(B553="North",28.6,
IF(B553="South",13,
IF(B553="East",22.6,
IF(B553="West",19,
23.5))))</f>
        <v>13</v>
      </c>
      <c r="L553" s="1">
        <f>IF(B553="North",77.2,
IF(B553="South",80.2,
IF(B553="East",88.4,
IF(B553="West",72.8,
78.9))))</f>
        <v>80.2</v>
      </c>
    </row>
    <row r="554" spans="1:12" x14ac:dyDescent="0.25">
      <c r="A554" s="5">
        <v>45328</v>
      </c>
      <c r="B554" s="1" t="s">
        <v>11</v>
      </c>
      <c r="C554" s="1" t="s">
        <v>17</v>
      </c>
      <c r="D554" s="1" t="s">
        <v>28</v>
      </c>
      <c r="E554" s="10">
        <v>18</v>
      </c>
      <c r="F554" s="10">
        <v>697</v>
      </c>
      <c r="G554" s="1" t="s">
        <v>33</v>
      </c>
      <c r="H554" s="10">
        <f t="shared" si="16"/>
        <v>12546</v>
      </c>
      <c r="I554" s="7">
        <v>8947.7862769186922</v>
      </c>
      <c r="J554" s="7">
        <f t="shared" si="17"/>
        <v>3598.2137230813078</v>
      </c>
      <c r="K554" s="1">
        <f>IF(B554="North",28.6,
IF(B554="South",13,
IF(B554="East",22.6,
IF(B554="West",19,
23.5))))</f>
        <v>19</v>
      </c>
      <c r="L554" s="1">
        <f>IF(B554="North",77.2,
IF(B554="South",80.2,
IF(B554="East",88.4,
IF(B554="West",72.8,
78.9))))</f>
        <v>72.8</v>
      </c>
    </row>
    <row r="555" spans="1:12" x14ac:dyDescent="0.25">
      <c r="A555" s="5">
        <v>45559</v>
      </c>
      <c r="B555" s="1" t="s">
        <v>13</v>
      </c>
      <c r="C555" s="1" t="s">
        <v>19</v>
      </c>
      <c r="D555" s="1" t="s">
        <v>29</v>
      </c>
      <c r="E555" s="10">
        <v>10</v>
      </c>
      <c r="F555" s="10">
        <v>1505</v>
      </c>
      <c r="G555" s="1" t="s">
        <v>35</v>
      </c>
      <c r="H555" s="10">
        <f t="shared" si="16"/>
        <v>15050</v>
      </c>
      <c r="I555" s="7">
        <f>H555*0.7</f>
        <v>10535</v>
      </c>
      <c r="J555" s="7">
        <f t="shared" si="17"/>
        <v>4515</v>
      </c>
      <c r="K555" s="1">
        <f>IF(B555="North",28.6,
IF(B555="South",13,
IF(B555="East",22.6,
IF(B555="West",19,
23.5))))</f>
        <v>13</v>
      </c>
      <c r="L555" s="1">
        <f>IF(B555="North",77.2,
IF(B555="South",80.2,
IF(B555="East",88.4,
IF(B555="West",72.8,
78.9))))</f>
        <v>80.2</v>
      </c>
    </row>
    <row r="556" spans="1:12" x14ac:dyDescent="0.25">
      <c r="A556" s="5">
        <v>45474</v>
      </c>
      <c r="B556" s="1" t="s">
        <v>11</v>
      </c>
      <c r="C556" s="1" t="s">
        <v>21</v>
      </c>
      <c r="D556" s="1" t="s">
        <v>30</v>
      </c>
      <c r="E556" s="10">
        <v>4</v>
      </c>
      <c r="F556" s="10">
        <v>491</v>
      </c>
      <c r="G556" s="1" t="s">
        <v>35</v>
      </c>
      <c r="H556" s="10">
        <f t="shared" si="16"/>
        <v>1964</v>
      </c>
      <c r="I556" s="7">
        <v>1709.0496019753141</v>
      </c>
      <c r="J556" s="7">
        <f t="shared" si="17"/>
        <v>254.95039802468591</v>
      </c>
      <c r="K556" s="1">
        <f>IF(B556="North",28.6,
IF(B556="South",13,
IF(B556="East",22.6,
IF(B556="West",19,
23.5))))</f>
        <v>19</v>
      </c>
      <c r="L556" s="1">
        <f>IF(B556="North",77.2,
IF(B556="South",80.2,
IF(B556="East",88.4,
IF(B556="West",72.8,
78.9))))</f>
        <v>72.8</v>
      </c>
    </row>
    <row r="557" spans="1:12" x14ac:dyDescent="0.25">
      <c r="A557" s="5">
        <v>45304</v>
      </c>
      <c r="B557" s="1" t="s">
        <v>13</v>
      </c>
      <c r="C557" s="1" t="s">
        <v>17</v>
      </c>
      <c r="D557" s="1" t="s">
        <v>30</v>
      </c>
      <c r="E557" s="10">
        <v>18</v>
      </c>
      <c r="F557" s="10">
        <v>1076</v>
      </c>
      <c r="G557" s="1" t="s">
        <v>33</v>
      </c>
      <c r="H557" s="10">
        <f t="shared" si="16"/>
        <v>19368</v>
      </c>
      <c r="I557" s="7">
        <v>13481.590654142899</v>
      </c>
      <c r="J557" s="7">
        <f t="shared" si="17"/>
        <v>5886.4093458571006</v>
      </c>
      <c r="K557" s="1">
        <f>IF(B557="North",28.6,
IF(B557="South",13,
IF(B557="East",22.6,
IF(B557="West",19,
23.5))))</f>
        <v>13</v>
      </c>
      <c r="L557" s="1">
        <f>IF(B557="North",77.2,
IF(B557="South",80.2,
IF(B557="East",88.4,
IF(B557="West",72.8,
78.9))))</f>
        <v>80.2</v>
      </c>
    </row>
    <row r="558" spans="1:12" x14ac:dyDescent="0.25">
      <c r="A558" s="5">
        <v>45570</v>
      </c>
      <c r="B558" s="1" t="s">
        <v>10</v>
      </c>
      <c r="C558" s="1" t="s">
        <v>17</v>
      </c>
      <c r="D558" s="1" t="s">
        <v>25</v>
      </c>
      <c r="E558" s="10">
        <v>7</v>
      </c>
      <c r="F558" s="10">
        <v>1175</v>
      </c>
      <c r="G558" s="1" t="s">
        <v>33</v>
      </c>
      <c r="H558" s="10">
        <f t="shared" si="16"/>
        <v>8225</v>
      </c>
      <c r="I558" s="7">
        <v>6071.8960230986131</v>
      </c>
      <c r="J558" s="7">
        <f t="shared" si="17"/>
        <v>2153.1039769013869</v>
      </c>
      <c r="K558" s="1">
        <f>IF(B558="North",28.6,
IF(B558="South",13,
IF(B558="East",22.6,
IF(B558="West",19,
23.5))))</f>
        <v>28.6</v>
      </c>
      <c r="L558" s="1">
        <f>IF(B558="North",77.2,
IF(B558="South",80.2,
IF(B558="East",88.4,
IF(B558="West",72.8,
78.9))))</f>
        <v>77.2</v>
      </c>
    </row>
    <row r="559" spans="1:12" x14ac:dyDescent="0.25">
      <c r="A559" s="5">
        <v>45508</v>
      </c>
      <c r="B559" s="1" t="s">
        <v>13</v>
      </c>
      <c r="C559" s="1" t="s">
        <v>21</v>
      </c>
      <c r="D559" s="1" t="s">
        <v>27</v>
      </c>
      <c r="E559" s="10">
        <v>13</v>
      </c>
      <c r="F559" s="10">
        <v>702</v>
      </c>
      <c r="G559" s="1" t="s">
        <v>35</v>
      </c>
      <c r="H559" s="10">
        <f t="shared" si="16"/>
        <v>9126</v>
      </c>
      <c r="I559" s="7">
        <v>6103.6530357697393</v>
      </c>
      <c r="J559" s="7">
        <f t="shared" si="17"/>
        <v>3022.3469642302607</v>
      </c>
      <c r="K559" s="1">
        <f>IF(B559="North",28.6,
IF(B559="South",13,
IF(B559="East",22.6,
IF(B559="West",19,
23.5))))</f>
        <v>13</v>
      </c>
      <c r="L559" s="1">
        <f>IF(B559="North",77.2,
IF(B559="South",80.2,
IF(B559="East",88.4,
IF(B559="West",72.8,
78.9))))</f>
        <v>80.2</v>
      </c>
    </row>
    <row r="560" spans="1:12" x14ac:dyDescent="0.25">
      <c r="A560" s="5">
        <v>45646</v>
      </c>
      <c r="B560" s="1" t="s">
        <v>10</v>
      </c>
      <c r="C560" s="1" t="s">
        <v>18</v>
      </c>
      <c r="D560" s="1" t="s">
        <v>26</v>
      </c>
      <c r="E560" s="10">
        <v>15</v>
      </c>
      <c r="F560" s="10">
        <v>1412</v>
      </c>
      <c r="G560" s="1" t="s">
        <v>34</v>
      </c>
      <c r="H560" s="10">
        <f t="shared" si="16"/>
        <v>21180</v>
      </c>
      <c r="I560" s="7">
        <v>13873.38373182465</v>
      </c>
      <c r="J560" s="7">
        <f t="shared" si="17"/>
        <v>7306.6162681753503</v>
      </c>
      <c r="K560" s="1">
        <f>IF(B560="North",28.6,
IF(B560="South",13,
IF(B560="East",22.6,
IF(B560="West",19,
23.5))))</f>
        <v>28.6</v>
      </c>
      <c r="L560" s="1">
        <f>IF(B560="North",77.2,
IF(B560="South",80.2,
IF(B560="East",88.4,
IF(B560="West",72.8,
78.9))))</f>
        <v>77.2</v>
      </c>
    </row>
    <row r="561" spans="1:12" x14ac:dyDescent="0.25">
      <c r="A561" s="5">
        <v>45652</v>
      </c>
      <c r="B561" s="1" t="s">
        <v>10</v>
      </c>
      <c r="C561" s="1" t="s">
        <v>19</v>
      </c>
      <c r="D561" s="1" t="s">
        <v>26</v>
      </c>
      <c r="E561" s="10">
        <v>1</v>
      </c>
      <c r="F561" s="10">
        <v>436</v>
      </c>
      <c r="G561" s="1" t="s">
        <v>35</v>
      </c>
      <c r="H561" s="10">
        <f t="shared" si="16"/>
        <v>436</v>
      </c>
      <c r="I561" s="7">
        <v>363.34803062489652</v>
      </c>
      <c r="J561" s="7">
        <f t="shared" si="17"/>
        <v>72.651969375103477</v>
      </c>
      <c r="K561" s="1">
        <f>IF(B561="North",28.6,
IF(B561="South",13,
IF(B561="East",22.6,
IF(B561="West",19,
23.5))))</f>
        <v>28.6</v>
      </c>
      <c r="L561" s="1">
        <f>IF(B561="North",77.2,
IF(B561="South",80.2,
IF(B561="East",88.4,
IF(B561="West",72.8,
78.9))))</f>
        <v>77.2</v>
      </c>
    </row>
    <row r="562" spans="1:12" x14ac:dyDescent="0.25">
      <c r="A562" s="5">
        <v>45577</v>
      </c>
      <c r="B562" s="1" t="s">
        <v>13</v>
      </c>
      <c r="C562" s="1" t="s">
        <v>21</v>
      </c>
      <c r="D562" s="1" t="s">
        <v>26</v>
      </c>
      <c r="E562" s="10">
        <v>11</v>
      </c>
      <c r="F562" s="10">
        <v>909</v>
      </c>
      <c r="G562" s="1" t="s">
        <v>35</v>
      </c>
      <c r="H562" s="10">
        <f t="shared" si="16"/>
        <v>9999</v>
      </c>
      <c r="I562" s="7">
        <v>6601.3321508303197</v>
      </c>
      <c r="J562" s="7">
        <f t="shared" si="17"/>
        <v>3397.6678491696803</v>
      </c>
      <c r="K562" s="1">
        <f>IF(B562="North",28.6,
IF(B562="South",13,
IF(B562="East",22.6,
IF(B562="West",19,
23.5))))</f>
        <v>13</v>
      </c>
      <c r="L562" s="1">
        <f>IF(B562="North",77.2,
IF(B562="South",80.2,
IF(B562="East",88.4,
IF(B562="West",72.8,
78.9))))</f>
        <v>80.2</v>
      </c>
    </row>
    <row r="563" spans="1:12" x14ac:dyDescent="0.25">
      <c r="A563" s="5">
        <v>45564</v>
      </c>
      <c r="B563" s="1" t="s">
        <v>10</v>
      </c>
      <c r="C563" s="1" t="s">
        <v>22</v>
      </c>
      <c r="D563" s="1" t="s">
        <v>25</v>
      </c>
      <c r="E563" s="10">
        <v>10</v>
      </c>
      <c r="F563" s="10">
        <v>1327</v>
      </c>
      <c r="G563" s="1" t="s">
        <v>35</v>
      </c>
      <c r="H563" s="10">
        <f t="shared" si="16"/>
        <v>13270</v>
      </c>
      <c r="I563" s="7">
        <v>11120.199640082439</v>
      </c>
      <c r="J563" s="7">
        <f t="shared" si="17"/>
        <v>2149.8003599175609</v>
      </c>
      <c r="K563" s="1">
        <f>IF(B563="North",28.6,
IF(B563="South",13,
IF(B563="East",22.6,
IF(B563="West",19,
23.5))))</f>
        <v>28.6</v>
      </c>
      <c r="L563" s="1">
        <f>IF(B563="North",77.2,
IF(B563="South",80.2,
IF(B563="East",88.4,
IF(B563="West",72.8,
78.9))))</f>
        <v>77.2</v>
      </c>
    </row>
    <row r="564" spans="1:12" x14ac:dyDescent="0.25">
      <c r="A564" s="5">
        <v>45353</v>
      </c>
      <c r="B564" s="1" t="s">
        <v>11</v>
      </c>
      <c r="C564" s="1" t="s">
        <v>20</v>
      </c>
      <c r="D564" s="1" t="s">
        <v>29</v>
      </c>
      <c r="E564" s="10">
        <v>5</v>
      </c>
      <c r="F564" s="10">
        <v>1361</v>
      </c>
      <c r="G564" s="1" t="s">
        <v>33</v>
      </c>
      <c r="H564" s="10">
        <f t="shared" si="16"/>
        <v>6805</v>
      </c>
      <c r="I564" s="7">
        <v>4959.2466113318997</v>
      </c>
      <c r="J564" s="7">
        <f t="shared" si="17"/>
        <v>1845.7533886681003</v>
      </c>
      <c r="K564" s="1">
        <f>IF(B564="North",28.6,
IF(B564="South",13,
IF(B564="East",22.6,
IF(B564="West",19,
23.5))))</f>
        <v>19</v>
      </c>
      <c r="L564" s="1">
        <f>IF(B564="North",77.2,
IF(B564="South",80.2,
IF(B564="East",88.4,
IF(B564="West",72.8,
78.9))))</f>
        <v>72.8</v>
      </c>
    </row>
    <row r="565" spans="1:12" x14ac:dyDescent="0.25">
      <c r="A565" s="5">
        <v>45375</v>
      </c>
      <c r="B565" s="1" t="s">
        <v>12</v>
      </c>
      <c r="C565" s="1" t="s">
        <v>21</v>
      </c>
      <c r="D565" s="1" t="s">
        <v>25</v>
      </c>
      <c r="E565" s="10">
        <v>16</v>
      </c>
      <c r="F565" s="10">
        <v>1505</v>
      </c>
      <c r="G565" s="1" t="s">
        <v>35</v>
      </c>
      <c r="H565" s="10">
        <f t="shared" si="16"/>
        <v>24080</v>
      </c>
      <c r="I565" s="7">
        <v>21636.23197789734</v>
      </c>
      <c r="J565" s="7">
        <f t="shared" si="17"/>
        <v>2443.7680221026603</v>
      </c>
      <c r="K565" s="1">
        <f>IF(B565="North",28.6,
IF(B565="South",13,
IF(B565="East",22.6,
IF(B565="West",19,
23.5))))</f>
        <v>22.6</v>
      </c>
      <c r="L565" s="1">
        <f>IF(B565="North",77.2,
IF(B565="South",80.2,
IF(B565="East",88.4,
IF(B565="West",72.8,
78.9))))</f>
        <v>88.4</v>
      </c>
    </row>
    <row r="566" spans="1:12" x14ac:dyDescent="0.25">
      <c r="A566" s="5">
        <v>45508</v>
      </c>
      <c r="B566" s="1" t="s">
        <v>13</v>
      </c>
      <c r="C566" s="1" t="s">
        <v>19</v>
      </c>
      <c r="D566" s="1" t="s">
        <v>32</v>
      </c>
      <c r="E566" s="10">
        <v>11</v>
      </c>
      <c r="F566" s="10">
        <v>1790</v>
      </c>
      <c r="G566" s="1" t="s">
        <v>35</v>
      </c>
      <c r="H566" s="10">
        <f t="shared" si="16"/>
        <v>19690</v>
      </c>
      <c r="I566" s="7">
        <v>12979.69575725594</v>
      </c>
      <c r="J566" s="7">
        <f t="shared" si="17"/>
        <v>6710.3042427440596</v>
      </c>
      <c r="K566" s="1">
        <f>IF(B566="North",28.6,
IF(B566="South",13,
IF(B566="East",22.6,
IF(B566="West",19,
23.5))))</f>
        <v>13</v>
      </c>
      <c r="L566" s="1">
        <f>IF(B566="North",77.2,
IF(B566="South",80.2,
IF(B566="East",88.4,
IF(B566="West",72.8,
78.9))))</f>
        <v>80.2</v>
      </c>
    </row>
    <row r="567" spans="1:12" x14ac:dyDescent="0.25">
      <c r="A567" s="5">
        <v>45633</v>
      </c>
      <c r="B567" s="1" t="s">
        <v>10</v>
      </c>
      <c r="C567" s="1" t="s">
        <v>24</v>
      </c>
      <c r="D567" s="1" t="s">
        <v>32</v>
      </c>
      <c r="E567" s="10">
        <v>6</v>
      </c>
      <c r="F567" s="10">
        <v>851</v>
      </c>
      <c r="G567" s="1" t="s">
        <v>35</v>
      </c>
      <c r="H567" s="10">
        <f t="shared" si="16"/>
        <v>5106</v>
      </c>
      <c r="I567" s="7">
        <v>3206.0236889311468</v>
      </c>
      <c r="J567" s="7">
        <f t="shared" si="17"/>
        <v>1899.9763110688532</v>
      </c>
      <c r="K567" s="1">
        <f>IF(B567="North",28.6,
IF(B567="South",13,
IF(B567="East",22.6,
IF(B567="West",19,
23.5))))</f>
        <v>28.6</v>
      </c>
      <c r="L567" s="1">
        <f>IF(B567="North",77.2,
IF(B567="South",80.2,
IF(B567="East",88.4,
IF(B567="West",72.8,
78.9))))</f>
        <v>77.2</v>
      </c>
    </row>
    <row r="568" spans="1:12" x14ac:dyDescent="0.25">
      <c r="A568" s="5">
        <v>45478</v>
      </c>
      <c r="B568" s="1" t="s">
        <v>13</v>
      </c>
      <c r="C568" s="1" t="s">
        <v>22</v>
      </c>
      <c r="D568" s="1" t="s">
        <v>27</v>
      </c>
      <c r="E568" s="10">
        <v>9</v>
      </c>
      <c r="F568" s="10">
        <v>1259</v>
      </c>
      <c r="G568" s="1" t="s">
        <v>35</v>
      </c>
      <c r="H568" s="10">
        <f t="shared" si="16"/>
        <v>11331</v>
      </c>
      <c r="I568" s="7">
        <v>7055.0196335031624</v>
      </c>
      <c r="J568" s="7">
        <f t="shared" si="17"/>
        <v>4275.9803664968376</v>
      </c>
      <c r="K568" s="1">
        <f>IF(B568="North",28.6,
IF(B568="South",13,
IF(B568="East",22.6,
IF(B568="West",19,
23.5))))</f>
        <v>13</v>
      </c>
      <c r="L568" s="1">
        <f>IF(B568="North",77.2,
IF(B568="South",80.2,
IF(B568="East",88.4,
IF(B568="West",72.8,
78.9))))</f>
        <v>80.2</v>
      </c>
    </row>
    <row r="569" spans="1:12" x14ac:dyDescent="0.25">
      <c r="A569" s="5">
        <v>45310</v>
      </c>
      <c r="B569" s="1" t="s">
        <v>11</v>
      </c>
      <c r="C569" s="1" t="s">
        <v>24</v>
      </c>
      <c r="D569" s="1" t="s">
        <v>32</v>
      </c>
      <c r="E569" s="10">
        <v>13</v>
      </c>
      <c r="F569" s="10">
        <v>1530</v>
      </c>
      <c r="G569" s="1" t="s">
        <v>35</v>
      </c>
      <c r="H569" s="10">
        <f t="shared" si="16"/>
        <v>19890</v>
      </c>
      <c r="I569" s="7">
        <v>16918.939234189311</v>
      </c>
      <c r="J569" s="7">
        <f t="shared" si="17"/>
        <v>2971.0607658106892</v>
      </c>
      <c r="K569" s="1">
        <f>IF(B569="North",28.6,
IF(B569="South",13,
IF(B569="East",22.6,
IF(B569="West",19,
23.5))))</f>
        <v>19</v>
      </c>
      <c r="L569" s="1">
        <f>IF(B569="North",77.2,
IF(B569="South",80.2,
IF(B569="East",88.4,
IF(B569="West",72.8,
78.9))))</f>
        <v>72.8</v>
      </c>
    </row>
    <row r="570" spans="1:12" x14ac:dyDescent="0.25">
      <c r="A570" s="5">
        <v>45468</v>
      </c>
      <c r="B570" s="1" t="s">
        <v>13</v>
      </c>
      <c r="C570" s="1" t="s">
        <v>23</v>
      </c>
      <c r="D570" s="1" t="s">
        <v>26</v>
      </c>
      <c r="E570" s="10">
        <v>8</v>
      </c>
      <c r="F570" s="10">
        <v>1631</v>
      </c>
      <c r="G570" s="1" t="s">
        <v>34</v>
      </c>
      <c r="H570" s="10">
        <f t="shared" si="16"/>
        <v>13048</v>
      </c>
      <c r="I570" s="7">
        <v>9542.4315920067784</v>
      </c>
      <c r="J570" s="7">
        <f t="shared" si="17"/>
        <v>3505.5684079932216</v>
      </c>
      <c r="K570" s="1">
        <f>IF(B570="North",28.6,
IF(B570="South",13,
IF(B570="East",22.6,
IF(B570="West",19,
23.5))))</f>
        <v>13</v>
      </c>
      <c r="L570" s="1">
        <f>IF(B570="North",77.2,
IF(B570="South",80.2,
IF(B570="East",88.4,
IF(B570="West",72.8,
78.9))))</f>
        <v>80.2</v>
      </c>
    </row>
    <row r="571" spans="1:12" x14ac:dyDescent="0.25">
      <c r="A571" s="5">
        <v>45391</v>
      </c>
      <c r="B571" s="1" t="s">
        <v>13</v>
      </c>
      <c r="C571" s="1" t="s">
        <v>21</v>
      </c>
      <c r="D571" s="1" t="s">
        <v>26</v>
      </c>
      <c r="E571" s="10">
        <v>14</v>
      </c>
      <c r="F571" s="10">
        <v>1485</v>
      </c>
      <c r="G571" s="1" t="s">
        <v>35</v>
      </c>
      <c r="H571" s="10">
        <f t="shared" si="16"/>
        <v>20790</v>
      </c>
      <c r="I571" s="7">
        <v>12493.486568750661</v>
      </c>
      <c r="J571" s="7">
        <f t="shared" si="17"/>
        <v>8296.5134312493392</v>
      </c>
      <c r="K571" s="1">
        <f>IF(B571="North",28.6,
IF(B571="South",13,
IF(B571="East",22.6,
IF(B571="West",19,
23.5))))</f>
        <v>13</v>
      </c>
      <c r="L571" s="1">
        <f>IF(B571="North",77.2,
IF(B571="South",80.2,
IF(B571="East",88.4,
IF(B571="West",72.8,
78.9))))</f>
        <v>80.2</v>
      </c>
    </row>
    <row r="572" spans="1:12" x14ac:dyDescent="0.25">
      <c r="A572" s="5">
        <v>45524</v>
      </c>
      <c r="B572" s="1" t="s">
        <v>10</v>
      </c>
      <c r="C572" s="1" t="s">
        <v>22</v>
      </c>
      <c r="D572" s="1" t="s">
        <v>25</v>
      </c>
      <c r="E572" s="10">
        <v>1</v>
      </c>
      <c r="F572" s="10">
        <v>1504</v>
      </c>
      <c r="G572" s="1" t="s">
        <v>35</v>
      </c>
      <c r="H572" s="10">
        <f t="shared" si="16"/>
        <v>1504</v>
      </c>
      <c r="I572" s="7">
        <v>1297.0968387615051</v>
      </c>
      <c r="J572" s="7">
        <f t="shared" si="17"/>
        <v>206.90316123849493</v>
      </c>
      <c r="K572" s="1">
        <f>IF(B572="North",28.6,
IF(B572="South",13,
IF(B572="East",22.6,
IF(B572="West",19,
23.5))))</f>
        <v>28.6</v>
      </c>
      <c r="L572" s="1">
        <f>IF(B572="North",77.2,
IF(B572="South",80.2,
IF(B572="East",88.4,
IF(B572="West",72.8,
78.9))))</f>
        <v>77.2</v>
      </c>
    </row>
    <row r="573" spans="1:12" x14ac:dyDescent="0.25">
      <c r="A573" s="5">
        <v>45367</v>
      </c>
      <c r="B573" s="1" t="s">
        <v>36</v>
      </c>
      <c r="C573" s="1" t="s">
        <v>20</v>
      </c>
      <c r="D573" s="1" t="s">
        <v>28</v>
      </c>
      <c r="E573" s="10">
        <v>17</v>
      </c>
      <c r="F573" s="10">
        <v>980</v>
      </c>
      <c r="G573" s="1" t="s">
        <v>33</v>
      </c>
      <c r="H573" s="10">
        <f t="shared" si="16"/>
        <v>16660</v>
      </c>
      <c r="I573" s="7">
        <v>14378.851192537701</v>
      </c>
      <c r="J573" s="7">
        <f t="shared" si="17"/>
        <v>2281.1488074622994</v>
      </c>
      <c r="K573" s="1">
        <f>IF(B573="North",28.6,
IF(B573="South",13,
IF(B573="East",22.6,
IF(B573="West",19,
23.5))))</f>
        <v>23.5</v>
      </c>
      <c r="L573" s="1">
        <f>IF(B573="North",77.2,
IF(B573="South",80.2,
IF(B573="East",88.4,
IF(B573="West",72.8,
78.9))))</f>
        <v>78.900000000000006</v>
      </c>
    </row>
    <row r="574" spans="1:12" x14ac:dyDescent="0.25">
      <c r="A574" s="5">
        <v>45556</v>
      </c>
      <c r="B574" s="1" t="s">
        <v>12</v>
      </c>
      <c r="C574" s="1" t="s">
        <v>40</v>
      </c>
      <c r="D574" s="1" t="s">
        <v>32</v>
      </c>
      <c r="E574" s="10">
        <v>5</v>
      </c>
      <c r="F574" s="10">
        <v>1699</v>
      </c>
      <c r="G574" s="1" t="s">
        <v>35</v>
      </c>
      <c r="H574" s="10">
        <f t="shared" si="16"/>
        <v>8495</v>
      </c>
      <c r="I574" s="7">
        <v>7152.1528937368876</v>
      </c>
      <c r="J574" s="7">
        <f t="shared" si="17"/>
        <v>1342.8471062631124</v>
      </c>
      <c r="K574" s="1">
        <f>IF(B574="North",28.6,
IF(B574="South",13,
IF(B574="East",22.6,
IF(B574="West",19,
23.5))))</f>
        <v>22.6</v>
      </c>
      <c r="L574" s="1">
        <f>IF(B574="North",77.2,
IF(B574="South",80.2,
IF(B574="East",88.4,
IF(B574="West",72.8,
78.9))))</f>
        <v>88.4</v>
      </c>
    </row>
    <row r="575" spans="1:12" x14ac:dyDescent="0.25">
      <c r="A575" s="5">
        <v>45575</v>
      </c>
      <c r="B575" s="1" t="s">
        <v>12</v>
      </c>
      <c r="C575" s="1" t="s">
        <v>20</v>
      </c>
      <c r="D575" s="1" t="s">
        <v>25</v>
      </c>
      <c r="E575" s="10">
        <v>2</v>
      </c>
      <c r="F575" s="10">
        <v>734</v>
      </c>
      <c r="G575" s="1" t="s">
        <v>33</v>
      </c>
      <c r="H575" s="10">
        <f t="shared" si="16"/>
        <v>1468</v>
      </c>
      <c r="I575" s="7">
        <v>990.15945992414072</v>
      </c>
      <c r="J575" s="7">
        <f t="shared" si="17"/>
        <v>477.84054007585928</v>
      </c>
      <c r="K575" s="1">
        <f>IF(B575="North",28.6,
IF(B575="South",13,
IF(B575="East",22.6,
IF(B575="West",19,
23.5))))</f>
        <v>22.6</v>
      </c>
      <c r="L575" s="1">
        <f>IF(B575="North",77.2,
IF(B575="South",80.2,
IF(B575="East",88.4,
IF(B575="West",72.8,
78.9))))</f>
        <v>88.4</v>
      </c>
    </row>
    <row r="576" spans="1:12" x14ac:dyDescent="0.25">
      <c r="A576" s="5">
        <v>45497</v>
      </c>
      <c r="B576" s="1" t="s">
        <v>10</v>
      </c>
      <c r="C576" s="1" t="s">
        <v>18</v>
      </c>
      <c r="D576" s="1" t="s">
        <v>30</v>
      </c>
      <c r="E576" s="10">
        <v>9</v>
      </c>
      <c r="F576" s="10">
        <v>353</v>
      </c>
      <c r="G576" s="1" t="s">
        <v>34</v>
      </c>
      <c r="H576" s="10">
        <f t="shared" si="16"/>
        <v>3177</v>
      </c>
      <c r="I576" s="7">
        <v>2261.4706174960229</v>
      </c>
      <c r="J576" s="7">
        <f t="shared" si="17"/>
        <v>915.5293825039771</v>
      </c>
      <c r="K576" s="1">
        <f>IF(B576="North",28.6,
IF(B576="South",13,
IF(B576="East",22.6,
IF(B576="West",19,
23.5))))</f>
        <v>28.6</v>
      </c>
      <c r="L576" s="1">
        <f>IF(B576="North",77.2,
IF(B576="South",80.2,
IF(B576="East",88.4,
IF(B576="West",72.8,
78.9))))</f>
        <v>77.2</v>
      </c>
    </row>
    <row r="577" spans="1:12" x14ac:dyDescent="0.25">
      <c r="A577" s="5">
        <v>45514</v>
      </c>
      <c r="B577" s="1" t="s">
        <v>13</v>
      </c>
      <c r="C577" s="1" t="s">
        <v>17</v>
      </c>
      <c r="D577" s="1" t="s">
        <v>30</v>
      </c>
      <c r="E577" s="10">
        <v>4</v>
      </c>
      <c r="F577" s="10">
        <v>1600</v>
      </c>
      <c r="G577" s="1" t="s">
        <v>33</v>
      </c>
      <c r="H577" s="10">
        <f t="shared" si="16"/>
        <v>6400</v>
      </c>
      <c r="I577" s="7">
        <v>5270.2583523753292</v>
      </c>
      <c r="J577" s="7">
        <f t="shared" si="17"/>
        <v>1129.7416476246708</v>
      </c>
      <c r="K577" s="1">
        <f>IF(B577="North",28.6,
IF(B577="South",13,
IF(B577="East",22.6,
IF(B577="West",19,
23.5))))</f>
        <v>13</v>
      </c>
      <c r="L577" s="1">
        <f>IF(B577="North",77.2,
IF(B577="South",80.2,
IF(B577="East",88.4,
IF(B577="West",72.8,
78.9))))</f>
        <v>80.2</v>
      </c>
    </row>
    <row r="578" spans="1:12" x14ac:dyDescent="0.25">
      <c r="A578" s="5">
        <v>45343</v>
      </c>
      <c r="B578" s="1" t="s">
        <v>10</v>
      </c>
      <c r="C578" s="1" t="s">
        <v>24</v>
      </c>
      <c r="D578" s="1" t="s">
        <v>28</v>
      </c>
      <c r="E578" s="10">
        <v>17</v>
      </c>
      <c r="F578" s="10">
        <v>1237</v>
      </c>
      <c r="G578" s="1" t="s">
        <v>35</v>
      </c>
      <c r="H578" s="10">
        <f t="shared" si="16"/>
        <v>21029</v>
      </c>
      <c r="I578" s="7">
        <v>15704.582062258831</v>
      </c>
      <c r="J578" s="7">
        <f t="shared" si="17"/>
        <v>5324.4179377411692</v>
      </c>
      <c r="K578" s="1">
        <f>IF(B578="North",28.6,
IF(B578="South",13,
IF(B578="East",22.6,
IF(B578="West",19,
23.5))))</f>
        <v>28.6</v>
      </c>
      <c r="L578" s="1">
        <f>IF(B578="North",77.2,
IF(B578="South",80.2,
IF(B578="East",88.4,
IF(B578="West",72.8,
78.9))))</f>
        <v>77.2</v>
      </c>
    </row>
    <row r="579" spans="1:12" x14ac:dyDescent="0.25">
      <c r="A579" s="5">
        <v>45630</v>
      </c>
      <c r="B579" s="1" t="s">
        <v>10</v>
      </c>
      <c r="C579" s="1" t="s">
        <v>22</v>
      </c>
      <c r="D579" s="1" t="s">
        <v>28</v>
      </c>
      <c r="E579" s="10">
        <v>17</v>
      </c>
      <c r="F579" s="10">
        <v>119</v>
      </c>
      <c r="G579" s="1" t="s">
        <v>35</v>
      </c>
      <c r="H579" s="10">
        <f t="shared" ref="H579:H642" si="18">E579*F579</f>
        <v>2023</v>
      </c>
      <c r="I579" s="7">
        <v>1307.1573494135239</v>
      </c>
      <c r="J579" s="7">
        <f t="shared" ref="J579:J642" si="19">H579-I579</f>
        <v>715.84265058647611</v>
      </c>
      <c r="K579" s="1">
        <f>IF(B579="North",28.6,
IF(B579="South",13,
IF(B579="East",22.6,
IF(B579="West",19,
23.5))))</f>
        <v>28.6</v>
      </c>
      <c r="L579" s="1">
        <f>IF(B579="North",77.2,
IF(B579="South",80.2,
IF(B579="East",88.4,
IF(B579="West",72.8,
78.9))))</f>
        <v>77.2</v>
      </c>
    </row>
    <row r="580" spans="1:12" x14ac:dyDescent="0.25">
      <c r="A580" s="5">
        <v>45435</v>
      </c>
      <c r="B580" s="1" t="s">
        <v>10</v>
      </c>
      <c r="C580" s="1" t="s">
        <v>20</v>
      </c>
      <c r="D580" s="1" t="s">
        <v>28</v>
      </c>
      <c r="E580" s="10">
        <v>18</v>
      </c>
      <c r="F580" s="10">
        <v>627</v>
      </c>
      <c r="G580" s="1" t="s">
        <v>33</v>
      </c>
      <c r="H580" s="10">
        <f t="shared" si="18"/>
        <v>11286</v>
      </c>
      <c r="I580" s="7">
        <v>7593.6663640377928</v>
      </c>
      <c r="J580" s="7">
        <f t="shared" si="19"/>
        <v>3692.3336359622072</v>
      </c>
      <c r="K580" s="1">
        <f>IF(B580="North",28.6,
IF(B580="South",13,
IF(B580="East",22.6,
IF(B580="West",19,
23.5))))</f>
        <v>28.6</v>
      </c>
      <c r="L580" s="1">
        <f>IF(B580="North",77.2,
IF(B580="South",80.2,
IF(B580="East",88.4,
IF(B580="West",72.8,
78.9))))</f>
        <v>77.2</v>
      </c>
    </row>
    <row r="581" spans="1:12" x14ac:dyDescent="0.25">
      <c r="A581" s="5">
        <v>45360</v>
      </c>
      <c r="B581" s="1" t="s">
        <v>13</v>
      </c>
      <c r="C581" s="1" t="s">
        <v>19</v>
      </c>
      <c r="D581" s="1" t="s">
        <v>25</v>
      </c>
      <c r="E581" s="10">
        <v>16</v>
      </c>
      <c r="F581" s="10">
        <v>1268</v>
      </c>
      <c r="G581" s="1" t="s">
        <v>35</v>
      </c>
      <c r="H581" s="10">
        <f t="shared" si="18"/>
        <v>20288</v>
      </c>
      <c r="I581" s="7">
        <v>18092.368956484679</v>
      </c>
      <c r="J581" s="7">
        <f t="shared" si="19"/>
        <v>2195.6310435153209</v>
      </c>
      <c r="K581" s="1">
        <f>IF(B581="North",28.6,
IF(B581="South",13,
IF(B581="East",22.6,
IF(B581="West",19,
23.5))))</f>
        <v>13</v>
      </c>
      <c r="L581" s="1">
        <f>IF(B581="North",77.2,
IF(B581="South",80.2,
IF(B581="East",88.4,
IF(B581="West",72.8,
78.9))))</f>
        <v>80.2</v>
      </c>
    </row>
    <row r="582" spans="1:12" x14ac:dyDescent="0.25">
      <c r="A582" s="5">
        <v>45390</v>
      </c>
      <c r="B582" s="1" t="s">
        <v>11</v>
      </c>
      <c r="C582" s="1" t="s">
        <v>20</v>
      </c>
      <c r="D582" s="1" t="s">
        <v>30</v>
      </c>
      <c r="E582" s="10">
        <v>8</v>
      </c>
      <c r="F582" s="10">
        <v>1331</v>
      </c>
      <c r="G582" s="1" t="s">
        <v>33</v>
      </c>
      <c r="H582" s="10">
        <f t="shared" si="18"/>
        <v>10648</v>
      </c>
      <c r="I582" s="7">
        <v>6871.1963023091485</v>
      </c>
      <c r="J582" s="7">
        <f t="shared" si="19"/>
        <v>3776.8036976908515</v>
      </c>
      <c r="K582" s="1">
        <f>IF(B582="North",28.6,
IF(B582="South",13,
IF(B582="East",22.6,
IF(B582="West",19,
23.5))))</f>
        <v>19</v>
      </c>
      <c r="L582" s="1">
        <f>IF(B582="North",77.2,
IF(B582="South",80.2,
IF(B582="East",88.4,
IF(B582="West",72.8,
78.9))))</f>
        <v>72.8</v>
      </c>
    </row>
    <row r="583" spans="1:12" x14ac:dyDescent="0.25">
      <c r="A583" s="5">
        <v>45316</v>
      </c>
      <c r="B583" s="1" t="s">
        <v>10</v>
      </c>
      <c r="C583" s="1" t="s">
        <v>19</v>
      </c>
      <c r="D583" s="1" t="s">
        <v>26</v>
      </c>
      <c r="E583" s="10">
        <v>11</v>
      </c>
      <c r="F583" s="10">
        <v>1654</v>
      </c>
      <c r="G583" s="1" t="s">
        <v>35</v>
      </c>
      <c r="H583" s="10">
        <f t="shared" si="18"/>
        <v>18194</v>
      </c>
      <c r="I583" s="7">
        <v>14879.49398610089</v>
      </c>
      <c r="J583" s="7">
        <f t="shared" si="19"/>
        <v>3314.5060138991103</v>
      </c>
      <c r="K583" s="1">
        <f>IF(B583="North",28.6,
IF(B583="South",13,
IF(B583="East",22.6,
IF(B583="West",19,
23.5))))</f>
        <v>28.6</v>
      </c>
      <c r="L583" s="1">
        <f>IF(B583="North",77.2,
IF(B583="South",80.2,
IF(B583="East",88.4,
IF(B583="West",72.8,
78.9))))</f>
        <v>77.2</v>
      </c>
    </row>
    <row r="584" spans="1:12" x14ac:dyDescent="0.25">
      <c r="A584" s="5">
        <v>45344</v>
      </c>
      <c r="B584" s="1" t="s">
        <v>13</v>
      </c>
      <c r="C584" s="1" t="s">
        <v>21</v>
      </c>
      <c r="D584" s="1" t="s">
        <v>28</v>
      </c>
      <c r="E584" s="10">
        <v>18</v>
      </c>
      <c r="F584" s="10">
        <v>475</v>
      </c>
      <c r="G584" s="1" t="s">
        <v>35</v>
      </c>
      <c r="H584" s="10">
        <f t="shared" si="18"/>
        <v>8550</v>
      </c>
      <c r="I584" s="7">
        <v>6356.1169565817172</v>
      </c>
      <c r="J584" s="7">
        <f t="shared" si="19"/>
        <v>2193.8830434182828</v>
      </c>
      <c r="K584" s="1">
        <f>IF(B584="North",28.6,
IF(B584="South",13,
IF(B584="East",22.6,
IF(B584="West",19,
23.5))))</f>
        <v>13</v>
      </c>
      <c r="L584" s="1">
        <f>IF(B584="North",77.2,
IF(B584="South",80.2,
IF(B584="East",88.4,
IF(B584="West",72.8,
78.9))))</f>
        <v>80.2</v>
      </c>
    </row>
    <row r="585" spans="1:12" x14ac:dyDescent="0.25">
      <c r="A585" s="5">
        <v>45442</v>
      </c>
      <c r="B585" s="1" t="s">
        <v>11</v>
      </c>
      <c r="C585" s="1" t="s">
        <v>22</v>
      </c>
      <c r="D585" s="1" t="s">
        <v>27</v>
      </c>
      <c r="E585" s="10">
        <v>10</v>
      </c>
      <c r="F585" s="10">
        <v>1627</v>
      </c>
      <c r="G585" s="1" t="s">
        <v>35</v>
      </c>
      <c r="H585" s="10">
        <f t="shared" si="18"/>
        <v>16270</v>
      </c>
      <c r="I585" s="7">
        <v>13415.92470027409</v>
      </c>
      <c r="J585" s="7">
        <f t="shared" si="19"/>
        <v>2854.0752997259096</v>
      </c>
      <c r="K585" s="1">
        <f>IF(B585="North",28.6,
IF(B585="South",13,
IF(B585="East",22.6,
IF(B585="West",19,
23.5))))</f>
        <v>19</v>
      </c>
      <c r="L585" s="1">
        <f>IF(B585="North",77.2,
IF(B585="South",80.2,
IF(B585="East",88.4,
IF(B585="West",72.8,
78.9))))</f>
        <v>72.8</v>
      </c>
    </row>
    <row r="586" spans="1:12" x14ac:dyDescent="0.25">
      <c r="A586" s="5">
        <v>45435</v>
      </c>
      <c r="B586" s="1" t="s">
        <v>10</v>
      </c>
      <c r="C586" s="1" t="s">
        <v>20</v>
      </c>
      <c r="D586" s="1" t="s">
        <v>29</v>
      </c>
      <c r="E586" s="10">
        <v>13</v>
      </c>
      <c r="F586" s="10">
        <v>265</v>
      </c>
      <c r="G586" s="1" t="s">
        <v>33</v>
      </c>
      <c r="H586" s="10">
        <f t="shared" si="18"/>
        <v>3445</v>
      </c>
      <c r="I586" s="7">
        <v>2750.26053472273</v>
      </c>
      <c r="J586" s="7">
        <f t="shared" si="19"/>
        <v>694.73946527727003</v>
      </c>
      <c r="K586" s="1">
        <f>IF(B586="North",28.6,
IF(B586="South",13,
IF(B586="East",22.6,
IF(B586="West",19,
23.5))))</f>
        <v>28.6</v>
      </c>
      <c r="L586" s="1">
        <f>IF(B586="North",77.2,
IF(B586="South",80.2,
IF(B586="East",88.4,
IF(B586="West",72.8,
78.9))))</f>
        <v>77.2</v>
      </c>
    </row>
    <row r="587" spans="1:12" x14ac:dyDescent="0.25">
      <c r="A587" s="5">
        <v>45348</v>
      </c>
      <c r="B587" s="1" t="s">
        <v>12</v>
      </c>
      <c r="C587" s="1" t="s">
        <v>23</v>
      </c>
      <c r="D587" s="1" t="s">
        <v>25</v>
      </c>
      <c r="E587" s="10">
        <v>17</v>
      </c>
      <c r="F587" s="10">
        <v>1673</v>
      </c>
      <c r="G587" s="1" t="s">
        <v>34</v>
      </c>
      <c r="H587" s="10">
        <f t="shared" si="18"/>
        <v>28441</v>
      </c>
      <c r="I587" s="7">
        <v>20811.70621996668</v>
      </c>
      <c r="J587" s="7">
        <f t="shared" si="19"/>
        <v>7629.2937800333202</v>
      </c>
      <c r="K587" s="1">
        <f>IF(B587="North",28.6,
IF(B587="South",13,
IF(B587="East",22.6,
IF(B587="West",19,
23.5))))</f>
        <v>22.6</v>
      </c>
      <c r="L587" s="1">
        <f>IF(B587="North",77.2,
IF(B587="South",80.2,
IF(B587="East",88.4,
IF(B587="West",72.8,
78.9))))</f>
        <v>88.4</v>
      </c>
    </row>
    <row r="588" spans="1:12" x14ac:dyDescent="0.25">
      <c r="A588" s="5">
        <v>45330</v>
      </c>
      <c r="B588" s="1" t="s">
        <v>11</v>
      </c>
      <c r="C588" s="1" t="s">
        <v>20</v>
      </c>
      <c r="D588" s="1" t="s">
        <v>28</v>
      </c>
      <c r="E588" s="10">
        <v>18</v>
      </c>
      <c r="F588" s="10">
        <v>1304</v>
      </c>
      <c r="G588" s="1" t="s">
        <v>33</v>
      </c>
      <c r="H588" s="10">
        <f t="shared" si="18"/>
        <v>23472</v>
      </c>
      <c r="I588" s="7">
        <v>16575.298463088289</v>
      </c>
      <c r="J588" s="7">
        <f t="shared" si="19"/>
        <v>6896.7015369117107</v>
      </c>
      <c r="K588" s="1">
        <f>IF(B588="North",28.6,
IF(B588="South",13,
IF(B588="East",22.6,
IF(B588="West",19,
23.5))))</f>
        <v>19</v>
      </c>
      <c r="L588" s="1">
        <f>IF(B588="North",77.2,
IF(B588="South",80.2,
IF(B588="East",88.4,
IF(B588="West",72.8,
78.9))))</f>
        <v>72.8</v>
      </c>
    </row>
    <row r="589" spans="1:12" x14ac:dyDescent="0.25">
      <c r="A589" s="5">
        <v>45400</v>
      </c>
      <c r="B589" s="1" t="s">
        <v>10</v>
      </c>
      <c r="C589" s="1" t="s">
        <v>18</v>
      </c>
      <c r="D589" s="1" t="s">
        <v>29</v>
      </c>
      <c r="E589" s="10">
        <v>10</v>
      </c>
      <c r="F589" s="10">
        <v>960</v>
      </c>
      <c r="G589" s="1" t="s">
        <v>34</v>
      </c>
      <c r="H589" s="10">
        <f t="shared" si="18"/>
        <v>9600</v>
      </c>
      <c r="I589" s="7">
        <f>H589*0.7</f>
        <v>6720</v>
      </c>
      <c r="J589" s="7">
        <f t="shared" si="19"/>
        <v>2880</v>
      </c>
      <c r="K589" s="1">
        <f>IF(B589="North",28.6,
IF(B589="South",13,
IF(B589="East",22.6,
IF(B589="West",19,
23.5))))</f>
        <v>28.6</v>
      </c>
      <c r="L589" s="1">
        <f>IF(B589="North",77.2,
IF(B589="South",80.2,
IF(B589="East",88.4,
IF(B589="West",72.8,
78.9))))</f>
        <v>77.2</v>
      </c>
    </row>
    <row r="590" spans="1:12" x14ac:dyDescent="0.25">
      <c r="A590" s="5">
        <v>45472</v>
      </c>
      <c r="B590" s="1" t="s">
        <v>11</v>
      </c>
      <c r="C590" s="1" t="s">
        <v>23</v>
      </c>
      <c r="D590" s="1" t="s">
        <v>31</v>
      </c>
      <c r="E590" s="10">
        <v>16</v>
      </c>
      <c r="F590" s="10">
        <v>716</v>
      </c>
      <c r="G590" s="1" t="s">
        <v>34</v>
      </c>
      <c r="H590" s="10">
        <f t="shared" si="18"/>
        <v>11456</v>
      </c>
      <c r="I590" s="7">
        <v>7984.1716976737707</v>
      </c>
      <c r="J590" s="7">
        <f t="shared" si="19"/>
        <v>3471.8283023262293</v>
      </c>
      <c r="K590" s="1">
        <f>IF(B590="North",28.6,
IF(B590="South",13,
IF(B590="East",22.6,
IF(B590="West",19,
23.5))))</f>
        <v>19</v>
      </c>
      <c r="L590" s="1">
        <f>IF(B590="North",77.2,
IF(B590="South",80.2,
IF(B590="East",88.4,
IF(B590="West",72.8,
78.9))))</f>
        <v>72.8</v>
      </c>
    </row>
    <row r="591" spans="1:12" x14ac:dyDescent="0.25">
      <c r="A591" s="5">
        <v>45333</v>
      </c>
      <c r="B591" s="1" t="s">
        <v>11</v>
      </c>
      <c r="C591" s="1" t="s">
        <v>22</v>
      </c>
      <c r="D591" s="1" t="s">
        <v>28</v>
      </c>
      <c r="E591" s="10">
        <v>5</v>
      </c>
      <c r="F591" s="10">
        <v>711</v>
      </c>
      <c r="G591" s="1" t="s">
        <v>35</v>
      </c>
      <c r="H591" s="10">
        <f t="shared" si="18"/>
        <v>3555</v>
      </c>
      <c r="I591" s="7">
        <v>2973.1582835144582</v>
      </c>
      <c r="J591" s="7">
        <f t="shared" si="19"/>
        <v>581.84171648554184</v>
      </c>
      <c r="K591" s="1">
        <f>IF(B591="North",28.6,
IF(B591="South",13,
IF(B591="East",22.6,
IF(B591="West",19,
23.5))))</f>
        <v>19</v>
      </c>
      <c r="L591" s="1">
        <f>IF(B591="North",77.2,
IF(B591="South",80.2,
IF(B591="East",88.4,
IF(B591="West",72.8,
78.9))))</f>
        <v>72.8</v>
      </c>
    </row>
    <row r="592" spans="1:12" x14ac:dyDescent="0.25">
      <c r="A592" s="5">
        <v>45477</v>
      </c>
      <c r="B592" s="1" t="s">
        <v>11</v>
      </c>
      <c r="C592" s="1" t="s">
        <v>18</v>
      </c>
      <c r="D592" s="1" t="s">
        <v>30</v>
      </c>
      <c r="E592" s="10">
        <v>13</v>
      </c>
      <c r="F592" s="10">
        <v>1725</v>
      </c>
      <c r="G592" s="1" t="s">
        <v>34</v>
      </c>
      <c r="H592" s="10">
        <f t="shared" si="18"/>
        <v>22425</v>
      </c>
      <c r="I592" s="7">
        <v>18028.644228751571</v>
      </c>
      <c r="J592" s="7">
        <f t="shared" si="19"/>
        <v>4396.3557712484289</v>
      </c>
      <c r="K592" s="1">
        <f>IF(B592="North",28.6,
IF(B592="South",13,
IF(B592="East",22.6,
IF(B592="West",19,
23.5))))</f>
        <v>19</v>
      </c>
      <c r="L592" s="1">
        <f>IF(B592="North",77.2,
IF(B592="South",80.2,
IF(B592="East",88.4,
IF(B592="West",72.8,
78.9))))</f>
        <v>72.8</v>
      </c>
    </row>
    <row r="593" spans="1:12" x14ac:dyDescent="0.25">
      <c r="A593" s="5">
        <v>45514</v>
      </c>
      <c r="B593" s="1" t="s">
        <v>11</v>
      </c>
      <c r="C593" s="1" t="s">
        <v>20</v>
      </c>
      <c r="D593" s="1" t="s">
        <v>36</v>
      </c>
      <c r="E593" s="10">
        <v>18</v>
      </c>
      <c r="F593" s="10">
        <v>1935</v>
      </c>
      <c r="G593" s="1" t="s">
        <v>33</v>
      </c>
      <c r="H593" s="10">
        <f t="shared" si="18"/>
        <v>34830</v>
      </c>
      <c r="I593" s="7">
        <v>26934.065159766378</v>
      </c>
      <c r="J593" s="7">
        <f t="shared" si="19"/>
        <v>7895.9348402336218</v>
      </c>
      <c r="K593" s="1">
        <f>IF(B593="North",28.6,
IF(B593="South",13,
IF(B593="East",22.6,
IF(B593="West",19,
23.5))))</f>
        <v>19</v>
      </c>
      <c r="L593" s="1">
        <f>IF(B593="North",77.2,
IF(B593="South",80.2,
IF(B593="East",88.4,
IF(B593="West",72.8,
78.9))))</f>
        <v>72.8</v>
      </c>
    </row>
    <row r="594" spans="1:12" x14ac:dyDescent="0.25">
      <c r="A594" s="5">
        <v>45413</v>
      </c>
      <c r="B594" s="1" t="s">
        <v>11</v>
      </c>
      <c r="C594" s="1" t="s">
        <v>19</v>
      </c>
      <c r="D594" s="1" t="s">
        <v>28</v>
      </c>
      <c r="E594" s="10">
        <v>17</v>
      </c>
      <c r="F594" s="10">
        <v>1567</v>
      </c>
      <c r="G594" s="1" t="s">
        <v>35</v>
      </c>
      <c r="H594" s="10">
        <f t="shared" si="18"/>
        <v>26639</v>
      </c>
      <c r="I594" s="7">
        <v>18930.746031873688</v>
      </c>
      <c r="J594" s="7">
        <f t="shared" si="19"/>
        <v>7708.2539681263115</v>
      </c>
      <c r="K594" s="1">
        <f>IF(B594="North",28.6,
IF(B594="South",13,
IF(B594="East",22.6,
IF(B594="West",19,
23.5))))</f>
        <v>19</v>
      </c>
      <c r="L594" s="1">
        <f>IF(B594="North",77.2,
IF(B594="South",80.2,
IF(B594="East",88.4,
IF(B594="West",72.8,
78.9))))</f>
        <v>72.8</v>
      </c>
    </row>
    <row r="595" spans="1:12" x14ac:dyDescent="0.25">
      <c r="A595" s="5">
        <v>45424</v>
      </c>
      <c r="B595" s="1" t="s">
        <v>11</v>
      </c>
      <c r="C595" s="1" t="s">
        <v>20</v>
      </c>
      <c r="D595" s="1" t="s">
        <v>25</v>
      </c>
      <c r="E595" s="10">
        <v>9</v>
      </c>
      <c r="F595" s="10">
        <v>1455</v>
      </c>
      <c r="G595" s="1" t="s">
        <v>33</v>
      </c>
      <c r="H595" s="10">
        <f t="shared" si="18"/>
        <v>13095</v>
      </c>
      <c r="I595" s="7">
        <v>8662.6621139852032</v>
      </c>
      <c r="J595" s="7">
        <f t="shared" si="19"/>
        <v>4432.3378860147968</v>
      </c>
      <c r="K595" s="1">
        <f>IF(B595="North",28.6,
IF(B595="South",13,
IF(B595="East",22.6,
IF(B595="West",19,
23.5))))</f>
        <v>19</v>
      </c>
      <c r="L595" s="1">
        <f>IF(B595="North",77.2,
IF(B595="South",80.2,
IF(B595="East",88.4,
IF(B595="West",72.8,
78.9))))</f>
        <v>72.8</v>
      </c>
    </row>
    <row r="596" spans="1:12" x14ac:dyDescent="0.25">
      <c r="A596" s="5">
        <v>45454</v>
      </c>
      <c r="B596" s="1" t="s">
        <v>10</v>
      </c>
      <c r="C596" s="1" t="s">
        <v>24</v>
      </c>
      <c r="D596" s="1" t="s">
        <v>32</v>
      </c>
      <c r="E596" s="10">
        <v>14</v>
      </c>
      <c r="F596" s="10">
        <v>602</v>
      </c>
      <c r="G596" s="1" t="s">
        <v>35</v>
      </c>
      <c r="H596" s="10">
        <f t="shared" si="18"/>
        <v>8428</v>
      </c>
      <c r="I596" s="7">
        <v>6853.0254254568936</v>
      </c>
      <c r="J596" s="7">
        <f t="shared" si="19"/>
        <v>1574.9745745431064</v>
      </c>
      <c r="K596" s="1">
        <f>IF(B596="North",28.6,
IF(B596="South",13,
IF(B596="East",22.6,
IF(B596="West",19,
23.5))))</f>
        <v>28.6</v>
      </c>
      <c r="L596" s="1">
        <f>IF(B596="North",77.2,
IF(B596="South",80.2,
IF(B596="East",88.4,
IF(B596="West",72.8,
78.9))))</f>
        <v>77.2</v>
      </c>
    </row>
    <row r="597" spans="1:12" x14ac:dyDescent="0.25">
      <c r="A597" s="5">
        <v>45506</v>
      </c>
      <c r="B597" s="1" t="s">
        <v>12</v>
      </c>
      <c r="C597" s="1" t="s">
        <v>21</v>
      </c>
      <c r="D597" s="1" t="s">
        <v>31</v>
      </c>
      <c r="E597" s="10">
        <v>17</v>
      </c>
      <c r="F597" s="10">
        <v>1012</v>
      </c>
      <c r="G597" s="1" t="s">
        <v>35</v>
      </c>
      <c r="H597" s="10">
        <f t="shared" si="18"/>
        <v>17204</v>
      </c>
      <c r="I597" s="7">
        <v>10793.871631272799</v>
      </c>
      <c r="J597" s="7">
        <f t="shared" si="19"/>
        <v>6410.1283687272007</v>
      </c>
      <c r="K597" s="1">
        <f>IF(B597="North",28.6,
IF(B597="South",13,
IF(B597="East",22.6,
IF(B597="West",19,
23.5))))</f>
        <v>22.6</v>
      </c>
      <c r="L597" s="1">
        <f>IF(B597="North",77.2,
IF(B597="South",80.2,
IF(B597="East",88.4,
IF(B597="West",72.8,
78.9))))</f>
        <v>88.4</v>
      </c>
    </row>
    <row r="598" spans="1:12" x14ac:dyDescent="0.25">
      <c r="A598" s="5">
        <v>45512</v>
      </c>
      <c r="B598" s="1" t="s">
        <v>13</v>
      </c>
      <c r="C598" s="1" t="s">
        <v>17</v>
      </c>
      <c r="D598" s="1" t="s">
        <v>27</v>
      </c>
      <c r="E598" s="10">
        <v>4</v>
      </c>
      <c r="F598" s="10">
        <v>178</v>
      </c>
      <c r="G598" s="1" t="s">
        <v>33</v>
      </c>
      <c r="H598" s="10">
        <f t="shared" si="18"/>
        <v>712</v>
      </c>
      <c r="I598" s="7">
        <v>634.5078259148703</v>
      </c>
      <c r="J598" s="7">
        <f t="shared" si="19"/>
        <v>77.492174085129705</v>
      </c>
      <c r="K598" s="1">
        <f>IF(B598="North",28.6,
IF(B598="South",13,
IF(B598="East",22.6,
IF(B598="West",19,
23.5))))</f>
        <v>13</v>
      </c>
      <c r="L598" s="1">
        <f>IF(B598="North",77.2,
IF(B598="South",80.2,
IF(B598="East",88.4,
IF(B598="West",72.8,
78.9))))</f>
        <v>80.2</v>
      </c>
    </row>
    <row r="599" spans="1:12" x14ac:dyDescent="0.25">
      <c r="A599" s="5">
        <v>45526</v>
      </c>
      <c r="B599" s="1" t="s">
        <v>11</v>
      </c>
      <c r="C599" s="1" t="s">
        <v>19</v>
      </c>
      <c r="D599" s="1" t="s">
        <v>32</v>
      </c>
      <c r="E599" s="10">
        <v>18</v>
      </c>
      <c r="F599" s="10">
        <v>684</v>
      </c>
      <c r="G599" s="1" t="s">
        <v>35</v>
      </c>
      <c r="H599" s="10">
        <f t="shared" si="18"/>
        <v>12312</v>
      </c>
      <c r="I599" s="7">
        <v>11002.303297423759</v>
      </c>
      <c r="J599" s="7">
        <f t="shared" si="19"/>
        <v>1309.6967025762406</v>
      </c>
      <c r="K599" s="1">
        <f>IF(B599="North",28.6,
IF(B599="South",13,
IF(B599="East",22.6,
IF(B599="West",19,
23.5))))</f>
        <v>19</v>
      </c>
      <c r="L599" s="1">
        <f>IF(B599="North",77.2,
IF(B599="South",80.2,
IF(B599="East",88.4,
IF(B599="West",72.8,
78.9))))</f>
        <v>72.8</v>
      </c>
    </row>
    <row r="600" spans="1:12" x14ac:dyDescent="0.25">
      <c r="A600" s="5">
        <v>45622</v>
      </c>
      <c r="B600" s="1" t="s">
        <v>13</v>
      </c>
      <c r="C600" s="1" t="s">
        <v>24</v>
      </c>
      <c r="D600" s="1" t="s">
        <v>29</v>
      </c>
      <c r="E600" s="10">
        <v>15</v>
      </c>
      <c r="F600" s="10">
        <v>787</v>
      </c>
      <c r="G600" s="1" t="s">
        <v>35</v>
      </c>
      <c r="H600" s="10">
        <f t="shared" si="18"/>
        <v>11805</v>
      </c>
      <c r="I600" s="7">
        <v>7544.1833944157479</v>
      </c>
      <c r="J600" s="7">
        <f t="shared" si="19"/>
        <v>4260.8166055842521</v>
      </c>
      <c r="K600" s="1">
        <f>IF(B600="North",28.6,
IF(B600="South",13,
IF(B600="East",22.6,
IF(B600="West",19,
23.5))))</f>
        <v>13</v>
      </c>
      <c r="L600" s="1">
        <f>IF(B600="North",77.2,
IF(B600="South",80.2,
IF(B600="East",88.4,
IF(B600="West",72.8,
78.9))))</f>
        <v>80.2</v>
      </c>
    </row>
    <row r="601" spans="1:12" x14ac:dyDescent="0.25">
      <c r="A601" s="5">
        <v>45437</v>
      </c>
      <c r="B601" s="1" t="s">
        <v>10</v>
      </c>
      <c r="C601" s="1" t="s">
        <v>23</v>
      </c>
      <c r="D601" s="1" t="s">
        <v>26</v>
      </c>
      <c r="E601" s="10">
        <v>11</v>
      </c>
      <c r="F601" s="10">
        <v>495</v>
      </c>
      <c r="G601" s="1" t="s">
        <v>34</v>
      </c>
      <c r="H601" s="10">
        <f t="shared" si="18"/>
        <v>5445</v>
      </c>
      <c r="I601" s="7">
        <v>3436.7783500752562</v>
      </c>
      <c r="J601" s="7">
        <f t="shared" si="19"/>
        <v>2008.2216499247438</v>
      </c>
      <c r="K601" s="1">
        <f>IF(B601="North",28.6,
IF(B601="South",13,
IF(B601="East",22.6,
IF(B601="West",19,
23.5))))</f>
        <v>28.6</v>
      </c>
      <c r="L601" s="1">
        <f>IF(B601="North",77.2,
IF(B601="South",80.2,
IF(B601="East",88.4,
IF(B601="West",72.8,
78.9))))</f>
        <v>77.2</v>
      </c>
    </row>
    <row r="602" spans="1:12" x14ac:dyDescent="0.25">
      <c r="A602" s="5">
        <v>45530</v>
      </c>
      <c r="B602" s="1" t="s">
        <v>11</v>
      </c>
      <c r="C602" s="1" t="s">
        <v>21</v>
      </c>
      <c r="D602" s="1" t="s">
        <v>28</v>
      </c>
      <c r="E602" s="10">
        <v>12</v>
      </c>
      <c r="F602" s="10">
        <v>1731</v>
      </c>
      <c r="G602" s="1" t="s">
        <v>35</v>
      </c>
      <c r="H602" s="10">
        <f t="shared" si="18"/>
        <v>20772</v>
      </c>
      <c r="I602" s="7">
        <v>15035.085556490611</v>
      </c>
      <c r="J602" s="7">
        <f t="shared" si="19"/>
        <v>5736.9144435093895</v>
      </c>
      <c r="K602" s="1">
        <f>IF(B602="North",28.6,
IF(B602="South",13,
IF(B602="East",22.6,
IF(B602="West",19,
23.5))))</f>
        <v>19</v>
      </c>
      <c r="L602" s="1">
        <f>IF(B602="North",77.2,
IF(B602="South",80.2,
IF(B602="East",88.4,
IF(B602="West",72.8,
78.9))))</f>
        <v>72.8</v>
      </c>
    </row>
    <row r="603" spans="1:12" x14ac:dyDescent="0.25">
      <c r="A603" s="5">
        <v>45367</v>
      </c>
      <c r="B603" s="1" t="s">
        <v>12</v>
      </c>
      <c r="C603" s="1" t="s">
        <v>22</v>
      </c>
      <c r="D603" s="1" t="s">
        <v>31</v>
      </c>
      <c r="E603" s="10">
        <v>9</v>
      </c>
      <c r="F603" s="10">
        <v>1980</v>
      </c>
      <c r="G603" s="1" t="s">
        <v>35</v>
      </c>
      <c r="H603" s="10">
        <f t="shared" si="18"/>
        <v>17820</v>
      </c>
      <c r="I603" s="7">
        <v>15843.850773504641</v>
      </c>
      <c r="J603" s="7">
        <f t="shared" si="19"/>
        <v>1976.1492264953595</v>
      </c>
      <c r="K603" s="1">
        <f>IF(B603="North",28.6,
IF(B603="South",13,
IF(B603="East",22.6,
IF(B603="West",19,
23.5))))</f>
        <v>22.6</v>
      </c>
      <c r="L603" s="1">
        <f>IF(B603="North",77.2,
IF(B603="South",80.2,
IF(B603="East",88.4,
IF(B603="West",72.8,
78.9))))</f>
        <v>88.4</v>
      </c>
    </row>
    <row r="604" spans="1:12" x14ac:dyDescent="0.25">
      <c r="A604" s="5">
        <v>45300</v>
      </c>
      <c r="B604" s="1" t="s">
        <v>13</v>
      </c>
      <c r="C604" s="1" t="s">
        <v>19</v>
      </c>
      <c r="D604" s="1" t="s">
        <v>31</v>
      </c>
      <c r="E604" s="10">
        <v>13</v>
      </c>
      <c r="F604" s="10">
        <v>1226</v>
      </c>
      <c r="G604" s="1" t="s">
        <v>35</v>
      </c>
      <c r="H604" s="10">
        <f t="shared" si="18"/>
        <v>15938</v>
      </c>
      <c r="I604" s="7">
        <v>11476.846533583641</v>
      </c>
      <c r="J604" s="7">
        <f t="shared" si="19"/>
        <v>4461.1534664163592</v>
      </c>
      <c r="K604" s="1">
        <f>IF(B604="North",28.6,
IF(B604="South",13,
IF(B604="East",22.6,
IF(B604="West",19,
23.5))))</f>
        <v>13</v>
      </c>
      <c r="L604" s="1">
        <f>IF(B604="North",77.2,
IF(B604="South",80.2,
IF(B604="East",88.4,
IF(B604="West",72.8,
78.9))))</f>
        <v>80.2</v>
      </c>
    </row>
    <row r="605" spans="1:12" x14ac:dyDescent="0.25">
      <c r="A605" s="5">
        <v>45365</v>
      </c>
      <c r="B605" s="1" t="s">
        <v>11</v>
      </c>
      <c r="C605" s="1" t="s">
        <v>17</v>
      </c>
      <c r="D605" s="1" t="s">
        <v>32</v>
      </c>
      <c r="E605" s="10">
        <v>15</v>
      </c>
      <c r="F605" s="10">
        <v>501</v>
      </c>
      <c r="G605" s="1" t="s">
        <v>33</v>
      </c>
      <c r="H605" s="10">
        <f t="shared" si="18"/>
        <v>7515</v>
      </c>
      <c r="I605" s="7">
        <v>5329.1918534606993</v>
      </c>
      <c r="J605" s="7">
        <f t="shared" si="19"/>
        <v>2185.8081465393007</v>
      </c>
      <c r="K605" s="1">
        <f>IF(B605="North",28.6,
IF(B605="South",13,
IF(B605="East",22.6,
IF(B605="West",19,
23.5))))</f>
        <v>19</v>
      </c>
      <c r="L605" s="1">
        <f>IF(B605="North",77.2,
IF(B605="South",80.2,
IF(B605="East",88.4,
IF(B605="West",72.8,
78.9))))</f>
        <v>72.8</v>
      </c>
    </row>
    <row r="606" spans="1:12" x14ac:dyDescent="0.25">
      <c r="A606" s="5">
        <v>45544</v>
      </c>
      <c r="B606" s="1" t="s">
        <v>10</v>
      </c>
      <c r="C606" s="1" t="s">
        <v>21</v>
      </c>
      <c r="D606" s="1" t="s">
        <v>27</v>
      </c>
      <c r="E606" s="10">
        <v>15</v>
      </c>
      <c r="F606" s="10">
        <v>1074</v>
      </c>
      <c r="G606" s="1" t="s">
        <v>35</v>
      </c>
      <c r="H606" s="10">
        <f t="shared" si="18"/>
        <v>16110</v>
      </c>
      <c r="I606" s="7">
        <v>13066.42659014106</v>
      </c>
      <c r="J606" s="7">
        <f t="shared" si="19"/>
        <v>3043.5734098589401</v>
      </c>
      <c r="K606" s="1">
        <f>IF(B606="North",28.6,
IF(B606="South",13,
IF(B606="East",22.6,
IF(B606="West",19,
23.5))))</f>
        <v>28.6</v>
      </c>
      <c r="L606" s="1">
        <f>IF(B606="North",77.2,
IF(B606="South",80.2,
IF(B606="East",88.4,
IF(B606="West",72.8,
78.9))))</f>
        <v>77.2</v>
      </c>
    </row>
    <row r="607" spans="1:12" x14ac:dyDescent="0.25">
      <c r="A607" s="5">
        <v>45521</v>
      </c>
      <c r="B607" s="1" t="s">
        <v>12</v>
      </c>
      <c r="C607" s="1" t="s">
        <v>23</v>
      </c>
      <c r="D607" s="1" t="s">
        <v>30</v>
      </c>
      <c r="E607" s="10">
        <v>5</v>
      </c>
      <c r="F607" s="10">
        <v>323</v>
      </c>
      <c r="G607" s="1" t="s">
        <v>34</v>
      </c>
      <c r="H607" s="10">
        <f t="shared" si="18"/>
        <v>1615</v>
      </c>
      <c r="I607" s="7">
        <v>1055.5952841303881</v>
      </c>
      <c r="J607" s="7">
        <f t="shared" si="19"/>
        <v>559.40471586961189</v>
      </c>
      <c r="K607" s="1">
        <f>IF(B607="North",28.6,
IF(B607="South",13,
IF(B607="East",22.6,
IF(B607="West",19,
23.5))))</f>
        <v>22.6</v>
      </c>
      <c r="L607" s="1">
        <f>IF(B607="North",77.2,
IF(B607="South",80.2,
IF(B607="East",88.4,
IF(B607="West",72.8,
78.9))))</f>
        <v>88.4</v>
      </c>
    </row>
    <row r="608" spans="1:12" x14ac:dyDescent="0.25">
      <c r="A608" s="5">
        <v>45298</v>
      </c>
      <c r="B608" s="1" t="s">
        <v>36</v>
      </c>
      <c r="C608" s="1" t="s">
        <v>18</v>
      </c>
      <c r="D608" s="1" t="s">
        <v>28</v>
      </c>
      <c r="E608" s="10">
        <v>19</v>
      </c>
      <c r="F608" s="10">
        <v>617</v>
      </c>
      <c r="G608" s="1" t="s">
        <v>34</v>
      </c>
      <c r="H608" s="10">
        <f t="shared" si="18"/>
        <v>11723</v>
      </c>
      <c r="I608" s="7">
        <v>8311.5723593805269</v>
      </c>
      <c r="J608" s="7">
        <f t="shared" si="19"/>
        <v>3411.4276406194731</v>
      </c>
      <c r="K608" s="1">
        <f>IF(B608="North",28.6,
IF(B608="South",13,
IF(B608="East",22.6,
IF(B608="West",19,
23.5))))</f>
        <v>23.5</v>
      </c>
      <c r="L608" s="1">
        <f>IF(B608="North",77.2,
IF(B608="South",80.2,
IF(B608="East",88.4,
IF(B608="West",72.8,
78.9))))</f>
        <v>78.900000000000006</v>
      </c>
    </row>
    <row r="609" spans="1:12" x14ac:dyDescent="0.25">
      <c r="A609" s="5">
        <v>45465</v>
      </c>
      <c r="B609" s="1" t="s">
        <v>13</v>
      </c>
      <c r="C609" s="1" t="s">
        <v>18</v>
      </c>
      <c r="D609" s="1" t="s">
        <v>31</v>
      </c>
      <c r="E609" s="10">
        <v>14</v>
      </c>
      <c r="F609" s="10">
        <v>733</v>
      </c>
      <c r="G609" s="1" t="s">
        <v>34</v>
      </c>
      <c r="H609" s="10">
        <f t="shared" si="18"/>
        <v>10262</v>
      </c>
      <c r="I609" s="7">
        <v>7054.0191041006383</v>
      </c>
      <c r="J609" s="7">
        <f t="shared" si="19"/>
        <v>3207.9808958993617</v>
      </c>
      <c r="K609" s="1">
        <f>IF(B609="North",28.6,
IF(B609="South",13,
IF(B609="East",22.6,
IF(B609="West",19,
23.5))))</f>
        <v>13</v>
      </c>
      <c r="L609" s="1">
        <f>IF(B609="North",77.2,
IF(B609="South",80.2,
IF(B609="East",88.4,
IF(B609="West",72.8,
78.9))))</f>
        <v>80.2</v>
      </c>
    </row>
    <row r="610" spans="1:12" x14ac:dyDescent="0.25">
      <c r="A610" s="5">
        <v>45432</v>
      </c>
      <c r="B610" s="1" t="s">
        <v>11</v>
      </c>
      <c r="C610" s="1" t="s">
        <v>17</v>
      </c>
      <c r="D610" s="1" t="s">
        <v>27</v>
      </c>
      <c r="E610" s="10">
        <v>17</v>
      </c>
      <c r="F610" s="10">
        <v>335</v>
      </c>
      <c r="G610" s="1" t="s">
        <v>33</v>
      </c>
      <c r="H610" s="10">
        <f t="shared" si="18"/>
        <v>5695</v>
      </c>
      <c r="I610" s="7">
        <v>4444.7219027644251</v>
      </c>
      <c r="J610" s="7">
        <f t="shared" si="19"/>
        <v>1250.2780972355749</v>
      </c>
      <c r="K610" s="1">
        <f>IF(B610="North",28.6,
IF(B610="South",13,
IF(B610="East",22.6,
IF(B610="West",19,
23.5))))</f>
        <v>19</v>
      </c>
      <c r="L610" s="1">
        <f>IF(B610="North",77.2,
IF(B610="South",80.2,
IF(B610="East",88.4,
IF(B610="West",72.8,
78.9))))</f>
        <v>72.8</v>
      </c>
    </row>
    <row r="611" spans="1:12" x14ac:dyDescent="0.25">
      <c r="A611" s="5">
        <v>45459</v>
      </c>
      <c r="B611" s="1" t="s">
        <v>12</v>
      </c>
      <c r="C611" s="1" t="s">
        <v>22</v>
      </c>
      <c r="D611" s="1" t="s">
        <v>26</v>
      </c>
      <c r="E611" s="10">
        <v>18</v>
      </c>
      <c r="F611" s="10">
        <v>1550</v>
      </c>
      <c r="G611" s="1" t="s">
        <v>35</v>
      </c>
      <c r="H611" s="10">
        <f t="shared" si="18"/>
        <v>27900</v>
      </c>
      <c r="I611" s="7">
        <v>18102.241657612551</v>
      </c>
      <c r="J611" s="7">
        <f t="shared" si="19"/>
        <v>9797.7583423874494</v>
      </c>
      <c r="K611" s="1">
        <f>IF(B611="North",28.6,
IF(B611="South",13,
IF(B611="East",22.6,
IF(B611="West",19,
23.5))))</f>
        <v>22.6</v>
      </c>
      <c r="L611" s="1">
        <f>IF(B611="North",77.2,
IF(B611="South",80.2,
IF(B611="East",88.4,
IF(B611="West",72.8,
78.9))))</f>
        <v>88.4</v>
      </c>
    </row>
    <row r="612" spans="1:12" x14ac:dyDescent="0.25">
      <c r="A612" s="5">
        <v>45461</v>
      </c>
      <c r="B612" s="1" t="s">
        <v>12</v>
      </c>
      <c r="C612" s="1" t="s">
        <v>22</v>
      </c>
      <c r="D612" s="1" t="s">
        <v>31</v>
      </c>
      <c r="E612" s="10">
        <v>3</v>
      </c>
      <c r="F612" s="10">
        <v>215</v>
      </c>
      <c r="G612" s="1" t="s">
        <v>35</v>
      </c>
      <c r="H612" s="10">
        <f t="shared" si="18"/>
        <v>645</v>
      </c>
      <c r="I612" s="7">
        <v>493.17369295980671</v>
      </c>
      <c r="J612" s="7">
        <f t="shared" si="19"/>
        <v>151.82630704019329</v>
      </c>
      <c r="K612" s="1">
        <f>IF(B612="North",28.6,
IF(B612="South",13,
IF(B612="East",22.6,
IF(B612="West",19,
23.5))))</f>
        <v>22.6</v>
      </c>
      <c r="L612" s="1">
        <f>IF(B612="North",77.2,
IF(B612="South",80.2,
IF(B612="East",88.4,
IF(B612="West",72.8,
78.9))))</f>
        <v>88.4</v>
      </c>
    </row>
    <row r="613" spans="1:12" x14ac:dyDescent="0.25">
      <c r="A613" s="5">
        <v>45574</v>
      </c>
      <c r="B613" s="1" t="s">
        <v>12</v>
      </c>
      <c r="C613" s="1" t="s">
        <v>23</v>
      </c>
      <c r="D613" s="1" t="s">
        <v>27</v>
      </c>
      <c r="E613" s="10">
        <v>2</v>
      </c>
      <c r="F613" s="10">
        <v>1286</v>
      </c>
      <c r="G613" s="1" t="s">
        <v>34</v>
      </c>
      <c r="H613" s="10">
        <f t="shared" si="18"/>
        <v>2572</v>
      </c>
      <c r="I613" s="7">
        <v>2204.8829487952689</v>
      </c>
      <c r="J613" s="7">
        <f t="shared" si="19"/>
        <v>367.11705120473107</v>
      </c>
      <c r="K613" s="1">
        <f>IF(B613="North",28.6,
IF(B613="South",13,
IF(B613="East",22.6,
IF(B613="West",19,
23.5))))</f>
        <v>22.6</v>
      </c>
      <c r="L613" s="1">
        <f>IF(B613="North",77.2,
IF(B613="South",80.2,
IF(B613="East",88.4,
IF(B613="West",72.8,
78.9))))</f>
        <v>88.4</v>
      </c>
    </row>
    <row r="614" spans="1:12" x14ac:dyDescent="0.25">
      <c r="A614" s="5">
        <v>45413</v>
      </c>
      <c r="B614" s="1" t="s">
        <v>12</v>
      </c>
      <c r="C614" s="1" t="s">
        <v>19</v>
      </c>
      <c r="D614" s="1" t="s">
        <v>25</v>
      </c>
      <c r="E614" s="10">
        <v>1</v>
      </c>
      <c r="F614" s="10">
        <v>325</v>
      </c>
      <c r="G614" s="1" t="s">
        <v>35</v>
      </c>
      <c r="H614" s="10">
        <f t="shared" si="18"/>
        <v>325</v>
      </c>
      <c r="I614" s="7">
        <v>245.13162830399119</v>
      </c>
      <c r="J614" s="7">
        <f t="shared" si="19"/>
        <v>79.868371696008808</v>
      </c>
      <c r="K614" s="1">
        <f>IF(B614="North",28.6,
IF(B614="South",13,
IF(B614="East",22.6,
IF(B614="West",19,
23.5))))</f>
        <v>22.6</v>
      </c>
      <c r="L614" s="1">
        <f>IF(B614="North",77.2,
IF(B614="South",80.2,
IF(B614="East",88.4,
IF(B614="West",72.8,
78.9))))</f>
        <v>88.4</v>
      </c>
    </row>
    <row r="615" spans="1:12" x14ac:dyDescent="0.25">
      <c r="A615" s="5">
        <v>45485</v>
      </c>
      <c r="B615" s="1" t="s">
        <v>10</v>
      </c>
      <c r="C615" s="1" t="s">
        <v>23</v>
      </c>
      <c r="D615" s="1" t="s">
        <v>30</v>
      </c>
      <c r="E615" s="10">
        <v>10</v>
      </c>
      <c r="F615" s="10">
        <v>329</v>
      </c>
      <c r="G615" s="1" t="s">
        <v>34</v>
      </c>
      <c r="H615" s="10">
        <f t="shared" si="18"/>
        <v>3290</v>
      </c>
      <c r="I615" s="7">
        <v>2648.6111610758098</v>
      </c>
      <c r="J615" s="7">
        <f t="shared" si="19"/>
        <v>641.38883892419017</v>
      </c>
      <c r="K615" s="1">
        <f>IF(B615="North",28.6,
IF(B615="South",13,
IF(B615="East",22.6,
IF(B615="West",19,
23.5))))</f>
        <v>28.6</v>
      </c>
      <c r="L615" s="1">
        <f>IF(B615="North",77.2,
IF(B615="South",80.2,
IF(B615="East",88.4,
IF(B615="West",72.8,
78.9))))</f>
        <v>77.2</v>
      </c>
    </row>
    <row r="616" spans="1:12" x14ac:dyDescent="0.25">
      <c r="A616" s="5">
        <v>45296</v>
      </c>
      <c r="B616" s="1" t="s">
        <v>12</v>
      </c>
      <c r="C616" s="1" t="s">
        <v>20</v>
      </c>
      <c r="D616" s="1" t="s">
        <v>30</v>
      </c>
      <c r="E616" s="10">
        <v>19</v>
      </c>
      <c r="F616" s="10">
        <v>281</v>
      </c>
      <c r="G616" s="1" t="s">
        <v>33</v>
      </c>
      <c r="H616" s="10">
        <f t="shared" si="18"/>
        <v>5339</v>
      </c>
      <c r="I616" s="7">
        <v>3323.924749914745</v>
      </c>
      <c r="J616" s="7">
        <f t="shared" si="19"/>
        <v>2015.075250085255</v>
      </c>
      <c r="K616" s="1">
        <f>IF(B616="North",28.6,
IF(B616="South",13,
IF(B616="East",22.6,
IF(B616="West",19,
23.5))))</f>
        <v>22.6</v>
      </c>
      <c r="L616" s="1">
        <f>IF(B616="North",77.2,
IF(B616="South",80.2,
IF(B616="East",88.4,
IF(B616="West",72.8,
78.9))))</f>
        <v>88.4</v>
      </c>
    </row>
    <row r="617" spans="1:12" x14ac:dyDescent="0.25">
      <c r="A617" s="5">
        <v>45320</v>
      </c>
      <c r="B617" s="1" t="s">
        <v>13</v>
      </c>
      <c r="C617" s="1" t="s">
        <v>22</v>
      </c>
      <c r="D617" s="1" t="s">
        <v>31</v>
      </c>
      <c r="E617" s="10">
        <v>17</v>
      </c>
      <c r="F617" s="10">
        <v>1372</v>
      </c>
      <c r="G617" s="1" t="s">
        <v>35</v>
      </c>
      <c r="H617" s="10">
        <f t="shared" si="18"/>
        <v>23324</v>
      </c>
      <c r="I617" s="7">
        <v>17136.181839107408</v>
      </c>
      <c r="J617" s="7">
        <f t="shared" si="19"/>
        <v>6187.8181608925915</v>
      </c>
      <c r="K617" s="1">
        <f>IF(B617="North",28.6,
IF(B617="South",13,
IF(B617="East",22.6,
IF(B617="West",19,
23.5))))</f>
        <v>13</v>
      </c>
      <c r="L617" s="1">
        <f>IF(B617="North",77.2,
IF(B617="South",80.2,
IF(B617="East",88.4,
IF(B617="West",72.8,
78.9))))</f>
        <v>80.2</v>
      </c>
    </row>
    <row r="618" spans="1:12" x14ac:dyDescent="0.25">
      <c r="A618" s="5">
        <v>45456</v>
      </c>
      <c r="B618" s="1" t="s">
        <v>13</v>
      </c>
      <c r="C618" s="1" t="s">
        <v>21</v>
      </c>
      <c r="D618" s="1" t="s">
        <v>29</v>
      </c>
      <c r="E618" s="10">
        <v>12</v>
      </c>
      <c r="F618" s="10">
        <v>1441</v>
      </c>
      <c r="G618" s="1" t="s">
        <v>35</v>
      </c>
      <c r="H618" s="10">
        <f t="shared" si="18"/>
        <v>17292</v>
      </c>
      <c r="I618" s="7">
        <v>10867.467795390219</v>
      </c>
      <c r="J618" s="7">
        <f t="shared" si="19"/>
        <v>6424.5322046097808</v>
      </c>
      <c r="K618" s="1">
        <f>IF(B618="North",28.6,
IF(B618="South",13,
IF(B618="East",22.6,
IF(B618="West",19,
23.5))))</f>
        <v>13</v>
      </c>
      <c r="L618" s="1">
        <f>IF(B618="North",77.2,
IF(B618="South",80.2,
IF(B618="East",88.4,
IF(B618="West",72.8,
78.9))))</f>
        <v>80.2</v>
      </c>
    </row>
    <row r="619" spans="1:12" x14ac:dyDescent="0.25">
      <c r="A619" s="5">
        <v>45630</v>
      </c>
      <c r="B619" s="1" t="s">
        <v>10</v>
      </c>
      <c r="C619" s="1" t="s">
        <v>20</v>
      </c>
      <c r="D619" s="1" t="s">
        <v>31</v>
      </c>
      <c r="E619" s="10">
        <v>1</v>
      </c>
      <c r="F619" s="10">
        <v>309</v>
      </c>
      <c r="G619" s="1" t="s">
        <v>33</v>
      </c>
      <c r="H619" s="10">
        <f t="shared" si="18"/>
        <v>309</v>
      </c>
      <c r="I619" s="7">
        <v>240.97009734542311</v>
      </c>
      <c r="J619" s="7">
        <f t="shared" si="19"/>
        <v>68.029902654576887</v>
      </c>
      <c r="K619" s="1">
        <f>IF(B619="North",28.6,
IF(B619="South",13,
IF(B619="East",22.6,
IF(B619="West",19,
23.5))))</f>
        <v>28.6</v>
      </c>
      <c r="L619" s="1">
        <f>IF(B619="North",77.2,
IF(B619="South",80.2,
IF(B619="East",88.4,
IF(B619="West",72.8,
78.9))))</f>
        <v>77.2</v>
      </c>
    </row>
    <row r="620" spans="1:12" x14ac:dyDescent="0.25">
      <c r="A620" s="5">
        <v>45427</v>
      </c>
      <c r="B620" s="1" t="s">
        <v>13</v>
      </c>
      <c r="C620" s="1" t="s">
        <v>18</v>
      </c>
      <c r="D620" s="1" t="s">
        <v>32</v>
      </c>
      <c r="E620" s="10">
        <v>12</v>
      </c>
      <c r="F620" s="10">
        <v>1779</v>
      </c>
      <c r="G620" s="1" t="s">
        <v>34</v>
      </c>
      <c r="H620" s="10">
        <f t="shared" si="18"/>
        <v>21348</v>
      </c>
      <c r="I620" s="7">
        <v>14608.7846147456</v>
      </c>
      <c r="J620" s="7">
        <f t="shared" si="19"/>
        <v>6739.2153852543997</v>
      </c>
      <c r="K620" s="1">
        <f>IF(B620="North",28.6,
IF(B620="South",13,
IF(B620="East",22.6,
IF(B620="West",19,
23.5))))</f>
        <v>13</v>
      </c>
      <c r="L620" s="1">
        <f>IF(B620="North",77.2,
IF(B620="South",80.2,
IF(B620="East",88.4,
IF(B620="West",72.8,
78.9))))</f>
        <v>80.2</v>
      </c>
    </row>
    <row r="621" spans="1:12" x14ac:dyDescent="0.25">
      <c r="A621" s="5">
        <v>45656</v>
      </c>
      <c r="B621" s="1" t="s">
        <v>13</v>
      </c>
      <c r="C621" s="1" t="s">
        <v>18</v>
      </c>
      <c r="D621" s="1" t="s">
        <v>28</v>
      </c>
      <c r="E621" s="10">
        <v>17</v>
      </c>
      <c r="F621" s="10">
        <v>1515</v>
      </c>
      <c r="G621" s="1" t="s">
        <v>34</v>
      </c>
      <c r="H621" s="10">
        <f t="shared" si="18"/>
        <v>25755</v>
      </c>
      <c r="I621" s="7">
        <v>17672.559443157741</v>
      </c>
      <c r="J621" s="7">
        <f t="shared" si="19"/>
        <v>8082.440556842259</v>
      </c>
      <c r="K621" s="1">
        <f>IF(B621="North",28.6,
IF(B621="South",13,
IF(B621="East",22.6,
IF(B621="West",19,
23.5))))</f>
        <v>13</v>
      </c>
      <c r="L621" s="1">
        <f>IF(B621="North",77.2,
IF(B621="South",80.2,
IF(B621="East",88.4,
IF(B621="West",72.8,
78.9))))</f>
        <v>80.2</v>
      </c>
    </row>
    <row r="622" spans="1:12" x14ac:dyDescent="0.25">
      <c r="A622" s="5">
        <v>45612</v>
      </c>
      <c r="B622" s="1" t="s">
        <v>12</v>
      </c>
      <c r="C622" s="1" t="s">
        <v>24</v>
      </c>
      <c r="D622" s="1" t="s">
        <v>27</v>
      </c>
      <c r="E622" s="10">
        <v>3</v>
      </c>
      <c r="F622" s="10">
        <v>1980</v>
      </c>
      <c r="G622" s="1" t="s">
        <v>35</v>
      </c>
      <c r="H622" s="10">
        <f t="shared" si="18"/>
        <v>5940</v>
      </c>
      <c r="I622" s="7">
        <v>3700.798325592355</v>
      </c>
      <c r="J622" s="7">
        <f t="shared" si="19"/>
        <v>2239.201674407645</v>
      </c>
      <c r="K622" s="1">
        <f>IF(B622="North",28.6,
IF(B622="South",13,
IF(B622="East",22.6,
IF(B622="West",19,
23.5))))</f>
        <v>22.6</v>
      </c>
      <c r="L622" s="1">
        <f>IF(B622="North",77.2,
IF(B622="South",80.2,
IF(B622="East",88.4,
IF(B622="West",72.8,
78.9))))</f>
        <v>88.4</v>
      </c>
    </row>
    <row r="623" spans="1:12" x14ac:dyDescent="0.25">
      <c r="A623" s="5">
        <v>45633</v>
      </c>
      <c r="B623" s="1" t="s">
        <v>13</v>
      </c>
      <c r="C623" s="1" t="s">
        <v>17</v>
      </c>
      <c r="D623" s="1" t="s">
        <v>31</v>
      </c>
      <c r="E623" s="10">
        <v>11</v>
      </c>
      <c r="F623" s="10">
        <v>195</v>
      </c>
      <c r="G623" s="1" t="s">
        <v>33</v>
      </c>
      <c r="H623" s="10">
        <f t="shared" si="18"/>
        <v>2145</v>
      </c>
      <c r="I623" s="7">
        <v>1486.6380638371129</v>
      </c>
      <c r="J623" s="7">
        <f t="shared" si="19"/>
        <v>658.3619361628871</v>
      </c>
      <c r="K623" s="1">
        <f>IF(B623="North",28.6,
IF(B623="South",13,
IF(B623="East",22.6,
IF(B623="West",19,
23.5))))</f>
        <v>13</v>
      </c>
      <c r="L623" s="1">
        <f>IF(B623="North",77.2,
IF(B623="South",80.2,
IF(B623="East",88.4,
IF(B623="West",72.8,
78.9))))</f>
        <v>80.2</v>
      </c>
    </row>
    <row r="624" spans="1:12" x14ac:dyDescent="0.25">
      <c r="A624" s="5">
        <v>45436</v>
      </c>
      <c r="B624" s="1" t="s">
        <v>10</v>
      </c>
      <c r="C624" s="1" t="s">
        <v>20</v>
      </c>
      <c r="D624" s="1" t="s">
        <v>28</v>
      </c>
      <c r="E624" s="10">
        <v>17</v>
      </c>
      <c r="F624" s="10">
        <v>993</v>
      </c>
      <c r="G624" s="1" t="s">
        <v>33</v>
      </c>
      <c r="H624" s="10">
        <f t="shared" si="18"/>
        <v>16881</v>
      </c>
      <c r="I624" s="7">
        <v>12694.56522802347</v>
      </c>
      <c r="J624" s="7">
        <f t="shared" si="19"/>
        <v>4186.4347719765301</v>
      </c>
      <c r="K624" s="1">
        <f>IF(B624="North",28.6,
IF(B624="South",13,
IF(B624="East",22.6,
IF(B624="West",19,
23.5))))</f>
        <v>28.6</v>
      </c>
      <c r="L624" s="1">
        <f>IF(B624="North",77.2,
IF(B624="South",80.2,
IF(B624="East",88.4,
IF(B624="West",72.8,
78.9))))</f>
        <v>77.2</v>
      </c>
    </row>
    <row r="625" spans="1:12" x14ac:dyDescent="0.25">
      <c r="A625" s="5">
        <v>45618</v>
      </c>
      <c r="B625" s="1" t="s">
        <v>36</v>
      </c>
      <c r="C625" s="1" t="s">
        <v>17</v>
      </c>
      <c r="D625" s="1" t="s">
        <v>32</v>
      </c>
      <c r="E625" s="10">
        <v>3</v>
      </c>
      <c r="F625" s="10">
        <v>-50</v>
      </c>
      <c r="G625" s="1" t="s">
        <v>33</v>
      </c>
      <c r="H625" s="10">
        <f t="shared" si="18"/>
        <v>-150</v>
      </c>
      <c r="I625" s="7">
        <v>-116.3097046427293</v>
      </c>
      <c r="J625" s="7">
        <f t="shared" si="19"/>
        <v>-33.690295357270699</v>
      </c>
      <c r="K625" s="1">
        <f>IF(B625="North",28.6,
IF(B625="South",13,
IF(B625="East",22.6,
IF(B625="West",19,
23.5))))</f>
        <v>23.5</v>
      </c>
      <c r="L625" s="1">
        <f>IF(B625="North",77.2,
IF(B625="South",80.2,
IF(B625="East",88.4,
IF(B625="West",72.8,
78.9))))</f>
        <v>78.900000000000006</v>
      </c>
    </row>
    <row r="626" spans="1:12" x14ac:dyDescent="0.25">
      <c r="A626" s="5">
        <v>45508</v>
      </c>
      <c r="B626" s="1" t="s">
        <v>11</v>
      </c>
      <c r="C626" s="1" t="s">
        <v>23</v>
      </c>
      <c r="D626" s="1" t="s">
        <v>25</v>
      </c>
      <c r="E626" s="10">
        <v>8</v>
      </c>
      <c r="F626" s="10">
        <v>855</v>
      </c>
      <c r="G626" s="1" t="s">
        <v>34</v>
      </c>
      <c r="H626" s="10">
        <f t="shared" si="18"/>
        <v>6840</v>
      </c>
      <c r="I626" s="7">
        <v>4240.7977112179897</v>
      </c>
      <c r="J626" s="7">
        <f t="shared" si="19"/>
        <v>2599.2022887820103</v>
      </c>
      <c r="K626" s="1">
        <f>IF(B626="North",28.6,
IF(B626="South",13,
IF(B626="East",22.6,
IF(B626="West",19,
23.5))))</f>
        <v>19</v>
      </c>
      <c r="L626" s="1">
        <f>IF(B626="North",77.2,
IF(B626="South",80.2,
IF(B626="East",88.4,
IF(B626="West",72.8,
78.9))))</f>
        <v>72.8</v>
      </c>
    </row>
    <row r="627" spans="1:12" x14ac:dyDescent="0.25">
      <c r="A627" s="5">
        <v>45592</v>
      </c>
      <c r="B627" s="1" t="s">
        <v>12</v>
      </c>
      <c r="C627" s="1" t="s">
        <v>20</v>
      </c>
      <c r="D627" s="1" t="s">
        <v>25</v>
      </c>
      <c r="E627" s="10">
        <v>4</v>
      </c>
      <c r="F627" s="10">
        <v>1209</v>
      </c>
      <c r="G627" s="1" t="s">
        <v>33</v>
      </c>
      <c r="H627" s="10">
        <f t="shared" si="18"/>
        <v>4836</v>
      </c>
      <c r="I627" s="7">
        <v>3846.7369866368749</v>
      </c>
      <c r="J627" s="7">
        <f t="shared" si="19"/>
        <v>989.26301336312508</v>
      </c>
      <c r="K627" s="1">
        <f>IF(B627="North",28.6,
IF(B627="South",13,
IF(B627="East",22.6,
IF(B627="West",19,
23.5))))</f>
        <v>22.6</v>
      </c>
      <c r="L627" s="1">
        <f>IF(B627="North",77.2,
IF(B627="South",80.2,
IF(B627="East",88.4,
IF(B627="West",72.8,
78.9))))</f>
        <v>88.4</v>
      </c>
    </row>
    <row r="628" spans="1:12" x14ac:dyDescent="0.25">
      <c r="A628" s="5">
        <v>45423</v>
      </c>
      <c r="B628" s="1" t="s">
        <v>10</v>
      </c>
      <c r="C628" s="1" t="s">
        <v>23</v>
      </c>
      <c r="D628" s="1" t="s">
        <v>28</v>
      </c>
      <c r="E628" s="10">
        <v>7</v>
      </c>
      <c r="F628" s="10">
        <v>514</v>
      </c>
      <c r="G628" s="1" t="s">
        <v>34</v>
      </c>
      <c r="H628" s="10">
        <f t="shared" si="18"/>
        <v>3598</v>
      </c>
      <c r="I628" s="7">
        <v>2686.492496157322</v>
      </c>
      <c r="J628" s="7">
        <f t="shared" si="19"/>
        <v>911.50750384267803</v>
      </c>
      <c r="K628" s="1">
        <f>IF(B628="North",28.6,
IF(B628="South",13,
IF(B628="East",22.6,
IF(B628="West",19,
23.5))))</f>
        <v>28.6</v>
      </c>
      <c r="L628" s="1">
        <f>IF(B628="North",77.2,
IF(B628="South",80.2,
IF(B628="East",88.4,
IF(B628="West",72.8,
78.9))))</f>
        <v>77.2</v>
      </c>
    </row>
    <row r="629" spans="1:12" x14ac:dyDescent="0.25">
      <c r="A629" s="5">
        <v>45583</v>
      </c>
      <c r="B629" s="1" t="s">
        <v>12</v>
      </c>
      <c r="C629" s="1" t="s">
        <v>24</v>
      </c>
      <c r="D629" s="1" t="s">
        <v>31</v>
      </c>
      <c r="E629" s="10">
        <v>14</v>
      </c>
      <c r="F629" s="10">
        <v>493</v>
      </c>
      <c r="G629" s="1" t="s">
        <v>35</v>
      </c>
      <c r="H629" s="10">
        <f t="shared" si="18"/>
        <v>6902</v>
      </c>
      <c r="I629" s="7">
        <v>5252.9217211872146</v>
      </c>
      <c r="J629" s="7">
        <f t="shared" si="19"/>
        <v>1649.0782788127854</v>
      </c>
      <c r="K629" s="1">
        <f>IF(B629="North",28.6,
IF(B629="South",13,
IF(B629="East",22.6,
IF(B629="West",19,
23.5))))</f>
        <v>22.6</v>
      </c>
      <c r="L629" s="1">
        <f>IF(B629="North",77.2,
IF(B629="South",80.2,
IF(B629="East",88.4,
IF(B629="West",72.8,
78.9))))</f>
        <v>88.4</v>
      </c>
    </row>
    <row r="630" spans="1:12" x14ac:dyDescent="0.25">
      <c r="A630" s="5">
        <v>45361</v>
      </c>
      <c r="B630" s="1" t="s">
        <v>12</v>
      </c>
      <c r="C630" s="1" t="s">
        <v>22</v>
      </c>
      <c r="D630" s="1" t="s">
        <v>30</v>
      </c>
      <c r="E630" s="10">
        <v>14</v>
      </c>
      <c r="F630" s="10">
        <v>795</v>
      </c>
      <c r="G630" s="1" t="s">
        <v>35</v>
      </c>
      <c r="H630" s="10">
        <f t="shared" si="18"/>
        <v>11130</v>
      </c>
      <c r="I630" s="7">
        <v>9458.7080937106675</v>
      </c>
      <c r="J630" s="7">
        <f t="shared" si="19"/>
        <v>1671.2919062893325</v>
      </c>
      <c r="K630" s="1">
        <f>IF(B630="North",28.6,
IF(B630="South",13,
IF(B630="East",22.6,
IF(B630="West",19,
23.5))))</f>
        <v>22.6</v>
      </c>
      <c r="L630" s="1">
        <f>IF(B630="North",77.2,
IF(B630="South",80.2,
IF(B630="East",88.4,
IF(B630="West",72.8,
78.9))))</f>
        <v>88.4</v>
      </c>
    </row>
    <row r="631" spans="1:12" x14ac:dyDescent="0.25">
      <c r="A631" s="5">
        <v>45543</v>
      </c>
      <c r="B631" s="1" t="s">
        <v>10</v>
      </c>
      <c r="C631" s="1" t="s">
        <v>18</v>
      </c>
      <c r="D631" s="1" t="s">
        <v>27</v>
      </c>
      <c r="E631" s="10">
        <v>4</v>
      </c>
      <c r="F631" s="10">
        <v>1756</v>
      </c>
      <c r="G631" s="1" t="s">
        <v>34</v>
      </c>
      <c r="H631" s="10">
        <f t="shared" si="18"/>
        <v>7024</v>
      </c>
      <c r="I631" s="7">
        <v>4935.5395655464145</v>
      </c>
      <c r="J631" s="7">
        <f t="shared" si="19"/>
        <v>2088.4604344535855</v>
      </c>
      <c r="K631" s="1">
        <f>IF(B631="North",28.6,
IF(B631="South",13,
IF(B631="East",22.6,
IF(B631="West",19,
23.5))))</f>
        <v>28.6</v>
      </c>
      <c r="L631" s="1">
        <f>IF(B631="North",77.2,
IF(B631="South",80.2,
IF(B631="East",88.4,
IF(B631="West",72.8,
78.9))))</f>
        <v>77.2</v>
      </c>
    </row>
    <row r="632" spans="1:12" x14ac:dyDescent="0.25">
      <c r="A632" s="5">
        <v>45566</v>
      </c>
      <c r="B632" s="1" t="s">
        <v>12</v>
      </c>
      <c r="C632" s="1" t="s">
        <v>24</v>
      </c>
      <c r="D632" s="1" t="s">
        <v>27</v>
      </c>
      <c r="E632" s="10">
        <v>16</v>
      </c>
      <c r="F632" s="10">
        <v>943</v>
      </c>
      <c r="G632" s="1" t="s">
        <v>35</v>
      </c>
      <c r="H632" s="10">
        <f t="shared" si="18"/>
        <v>15088</v>
      </c>
      <c r="I632" s="7">
        <v>9840.6249504826937</v>
      </c>
      <c r="J632" s="7">
        <f t="shared" si="19"/>
        <v>5247.3750495173063</v>
      </c>
      <c r="K632" s="1">
        <f>IF(B632="North",28.6,
IF(B632="South",13,
IF(B632="East",22.6,
IF(B632="West",19,
23.5))))</f>
        <v>22.6</v>
      </c>
      <c r="L632" s="1">
        <f>IF(B632="North",77.2,
IF(B632="South",80.2,
IF(B632="East",88.4,
IF(B632="West",72.8,
78.9))))</f>
        <v>88.4</v>
      </c>
    </row>
    <row r="633" spans="1:12" x14ac:dyDescent="0.25">
      <c r="A633" s="5">
        <v>45655</v>
      </c>
      <c r="B633" s="1" t="s">
        <v>10</v>
      </c>
      <c r="C633" s="1" t="s">
        <v>18</v>
      </c>
      <c r="D633" s="1" t="s">
        <v>25</v>
      </c>
      <c r="E633" s="10">
        <v>1</v>
      </c>
      <c r="F633" s="10">
        <v>1624</v>
      </c>
      <c r="G633" s="1" t="s">
        <v>34</v>
      </c>
      <c r="H633" s="10">
        <f t="shared" si="18"/>
        <v>1624</v>
      </c>
      <c r="I633" s="7">
        <v>1243.241917604428</v>
      </c>
      <c r="J633" s="7">
        <f t="shared" si="19"/>
        <v>380.75808239557205</v>
      </c>
      <c r="K633" s="1">
        <f>IF(B633="North",28.6,
IF(B633="South",13,
IF(B633="East",22.6,
IF(B633="West",19,
23.5))))</f>
        <v>28.6</v>
      </c>
      <c r="L633" s="1">
        <f>IF(B633="North",77.2,
IF(B633="South",80.2,
IF(B633="East",88.4,
IF(B633="West",72.8,
78.9))))</f>
        <v>77.2</v>
      </c>
    </row>
    <row r="634" spans="1:12" x14ac:dyDescent="0.25">
      <c r="A634" s="5">
        <v>45473</v>
      </c>
      <c r="B634" s="1" t="s">
        <v>10</v>
      </c>
      <c r="C634" s="1" t="s">
        <v>22</v>
      </c>
      <c r="D634" s="1" t="s">
        <v>25</v>
      </c>
      <c r="E634" s="10">
        <v>17</v>
      </c>
      <c r="F634" s="10">
        <v>703</v>
      </c>
      <c r="G634" s="1" t="s">
        <v>35</v>
      </c>
      <c r="H634" s="10">
        <f t="shared" si="18"/>
        <v>11951</v>
      </c>
      <c r="I634" s="7">
        <v>10558.78708093909</v>
      </c>
      <c r="J634" s="7">
        <f t="shared" si="19"/>
        <v>1392.2129190609103</v>
      </c>
      <c r="K634" s="1">
        <f>IF(B634="North",28.6,
IF(B634="South",13,
IF(B634="East",22.6,
IF(B634="West",19,
23.5))))</f>
        <v>28.6</v>
      </c>
      <c r="L634" s="1">
        <f>IF(B634="North",77.2,
IF(B634="South",80.2,
IF(B634="East",88.4,
IF(B634="West",72.8,
78.9))))</f>
        <v>77.2</v>
      </c>
    </row>
    <row r="635" spans="1:12" x14ac:dyDescent="0.25">
      <c r="A635" s="5">
        <v>45458</v>
      </c>
      <c r="B635" s="1" t="s">
        <v>11</v>
      </c>
      <c r="C635" s="1" t="s">
        <v>23</v>
      </c>
      <c r="D635" s="1" t="s">
        <v>30</v>
      </c>
      <c r="E635" s="10">
        <v>10</v>
      </c>
      <c r="F635" s="10">
        <v>681</v>
      </c>
      <c r="G635" s="1" t="s">
        <v>34</v>
      </c>
      <c r="H635" s="10">
        <f t="shared" si="18"/>
        <v>6810</v>
      </c>
      <c r="I635" s="7">
        <v>5144.0076319870514</v>
      </c>
      <c r="J635" s="7">
        <f t="shared" si="19"/>
        <v>1665.9923680129486</v>
      </c>
      <c r="K635" s="1">
        <f>IF(B635="North",28.6,
IF(B635="South",13,
IF(B635="East",22.6,
IF(B635="West",19,
23.5))))</f>
        <v>19</v>
      </c>
      <c r="L635" s="1">
        <f>IF(B635="North",77.2,
IF(B635="South",80.2,
IF(B635="East",88.4,
IF(B635="West",72.8,
78.9))))</f>
        <v>72.8</v>
      </c>
    </row>
    <row r="636" spans="1:12" x14ac:dyDescent="0.25">
      <c r="A636" s="5">
        <v>45382</v>
      </c>
      <c r="B636" s="1" t="s">
        <v>13</v>
      </c>
      <c r="C636" s="1" t="s">
        <v>22</v>
      </c>
      <c r="D636" s="1" t="s">
        <v>29</v>
      </c>
      <c r="E636" s="10">
        <v>16</v>
      </c>
      <c r="F636" s="10">
        <v>232</v>
      </c>
      <c r="G636" s="1" t="s">
        <v>35</v>
      </c>
      <c r="H636" s="10">
        <f t="shared" si="18"/>
        <v>3712</v>
      </c>
      <c r="I636" s="7">
        <v>3153.6173970994819</v>
      </c>
      <c r="J636" s="7">
        <f t="shared" si="19"/>
        <v>558.38260290051812</v>
      </c>
      <c r="K636" s="1">
        <f>IF(B636="North",28.6,
IF(B636="South",13,
IF(B636="East",22.6,
IF(B636="West",19,
23.5))))</f>
        <v>13</v>
      </c>
      <c r="L636" s="1">
        <f>IF(B636="North",77.2,
IF(B636="South",80.2,
IF(B636="East",88.4,
IF(B636="West",72.8,
78.9))))</f>
        <v>80.2</v>
      </c>
    </row>
    <row r="637" spans="1:12" x14ac:dyDescent="0.25">
      <c r="A637" s="5">
        <v>45493</v>
      </c>
      <c r="B637" s="1" t="s">
        <v>13</v>
      </c>
      <c r="C637" s="1" t="s">
        <v>18</v>
      </c>
      <c r="D637" s="1" t="s">
        <v>31</v>
      </c>
      <c r="E637" s="10">
        <v>16</v>
      </c>
      <c r="F637" s="10">
        <v>890</v>
      </c>
      <c r="G637" s="1" t="s">
        <v>34</v>
      </c>
      <c r="H637" s="10">
        <f t="shared" si="18"/>
        <v>14240</v>
      </c>
      <c r="I637" s="7">
        <v>11778.04093665753</v>
      </c>
      <c r="J637" s="7">
        <f t="shared" si="19"/>
        <v>2461.9590633424705</v>
      </c>
      <c r="K637" s="1">
        <f>IF(B637="North",28.6,
IF(B637="South",13,
IF(B637="East",22.6,
IF(B637="West",19,
23.5))))</f>
        <v>13</v>
      </c>
      <c r="L637" s="1">
        <f>IF(B637="North",77.2,
IF(B637="South",80.2,
IF(B637="East",88.4,
IF(B637="West",72.8,
78.9))))</f>
        <v>80.2</v>
      </c>
    </row>
    <row r="638" spans="1:12" x14ac:dyDescent="0.25">
      <c r="A638" s="5">
        <v>45637</v>
      </c>
      <c r="B638" s="1" t="s">
        <v>12</v>
      </c>
      <c r="C638" s="1" t="s">
        <v>18</v>
      </c>
      <c r="D638" s="1" t="s">
        <v>25</v>
      </c>
      <c r="E638" s="10">
        <v>8</v>
      </c>
      <c r="F638" s="10">
        <v>748</v>
      </c>
      <c r="G638" s="1" t="s">
        <v>34</v>
      </c>
      <c r="H638" s="10">
        <f t="shared" si="18"/>
        <v>5984</v>
      </c>
      <c r="I638" s="7">
        <v>4520.9074288400498</v>
      </c>
      <c r="J638" s="7">
        <f t="shared" si="19"/>
        <v>1463.0925711599502</v>
      </c>
      <c r="K638" s="1">
        <f>IF(B638="North",28.6,
IF(B638="South",13,
IF(B638="East",22.6,
IF(B638="West",19,
23.5))))</f>
        <v>22.6</v>
      </c>
      <c r="L638" s="1">
        <f>IF(B638="North",77.2,
IF(B638="South",80.2,
IF(B638="East",88.4,
IF(B638="West",72.8,
78.9))))</f>
        <v>88.4</v>
      </c>
    </row>
    <row r="639" spans="1:12" x14ac:dyDescent="0.25">
      <c r="A639" s="5">
        <v>45310</v>
      </c>
      <c r="B639" s="1" t="s">
        <v>12</v>
      </c>
      <c r="C639" s="1" t="s">
        <v>17</v>
      </c>
      <c r="D639" s="1" t="s">
        <v>25</v>
      </c>
      <c r="E639" s="10">
        <v>7</v>
      </c>
      <c r="F639" s="10">
        <v>1437</v>
      </c>
      <c r="G639" s="1" t="s">
        <v>33</v>
      </c>
      <c r="H639" s="10">
        <f t="shared" si="18"/>
        <v>10059</v>
      </c>
      <c r="I639" s="7">
        <v>7989.5260525247331</v>
      </c>
      <c r="J639" s="7">
        <f t="shared" si="19"/>
        <v>2069.4739474752669</v>
      </c>
      <c r="K639" s="1">
        <f>IF(B639="North",28.6,
IF(B639="South",13,
IF(B639="East",22.6,
IF(B639="West",19,
23.5))))</f>
        <v>22.6</v>
      </c>
      <c r="L639" s="1">
        <f>IF(B639="North",77.2,
IF(B639="South",80.2,
IF(B639="East",88.4,
IF(B639="West",72.8,
78.9))))</f>
        <v>88.4</v>
      </c>
    </row>
    <row r="640" spans="1:12" x14ac:dyDescent="0.25">
      <c r="A640" s="5">
        <v>45330</v>
      </c>
      <c r="B640" s="1" t="s">
        <v>11</v>
      </c>
      <c r="C640" s="1" t="s">
        <v>21</v>
      </c>
      <c r="D640" s="1" t="s">
        <v>25</v>
      </c>
      <c r="E640" s="10">
        <v>6</v>
      </c>
      <c r="F640" s="10">
        <v>1822</v>
      </c>
      <c r="G640" s="1" t="s">
        <v>35</v>
      </c>
      <c r="H640" s="10">
        <f t="shared" si="18"/>
        <v>10932</v>
      </c>
      <c r="I640" s="7">
        <v>7892.9483317634013</v>
      </c>
      <c r="J640" s="7">
        <f t="shared" si="19"/>
        <v>3039.0516682365987</v>
      </c>
      <c r="K640" s="1">
        <f>IF(B640="North",28.6,
IF(B640="South",13,
IF(B640="East",22.6,
IF(B640="West",19,
23.5))))</f>
        <v>19</v>
      </c>
      <c r="L640" s="1">
        <f>IF(B640="North",77.2,
IF(B640="South",80.2,
IF(B640="East",88.4,
IF(B640="West",72.8,
78.9))))</f>
        <v>72.8</v>
      </c>
    </row>
    <row r="641" spans="1:12" x14ac:dyDescent="0.25">
      <c r="A641" s="5">
        <v>45417</v>
      </c>
      <c r="B641" s="1" t="s">
        <v>11</v>
      </c>
      <c r="C641" s="1" t="s">
        <v>24</v>
      </c>
      <c r="D641" s="1" t="s">
        <v>27</v>
      </c>
      <c r="E641" s="10">
        <v>16</v>
      </c>
      <c r="F641" s="10">
        <v>320</v>
      </c>
      <c r="G641" s="1" t="s">
        <v>35</v>
      </c>
      <c r="H641" s="10">
        <f t="shared" si="18"/>
        <v>5120</v>
      </c>
      <c r="I641" s="7">
        <v>3887.045666453289</v>
      </c>
      <c r="J641" s="7">
        <f t="shared" si="19"/>
        <v>1232.954333546711</v>
      </c>
      <c r="K641" s="1">
        <f>IF(B641="North",28.6,
IF(B641="South",13,
IF(B641="East",22.6,
IF(B641="West",19,
23.5))))</f>
        <v>19</v>
      </c>
      <c r="L641" s="1">
        <f>IF(B641="North",77.2,
IF(B641="South",80.2,
IF(B641="East",88.4,
IF(B641="West",72.8,
78.9))))</f>
        <v>72.8</v>
      </c>
    </row>
    <row r="642" spans="1:12" x14ac:dyDescent="0.25">
      <c r="A642" s="5">
        <v>45464</v>
      </c>
      <c r="B642" s="1" t="s">
        <v>11</v>
      </c>
      <c r="C642" s="1" t="s">
        <v>20</v>
      </c>
      <c r="D642" s="1" t="s">
        <v>31</v>
      </c>
      <c r="E642" s="10">
        <v>16</v>
      </c>
      <c r="F642" s="10">
        <v>1075</v>
      </c>
      <c r="G642" s="1" t="s">
        <v>33</v>
      </c>
      <c r="H642" s="10">
        <f t="shared" si="18"/>
        <v>17200</v>
      </c>
      <c r="I642" s="7">
        <v>12937.594497299669</v>
      </c>
      <c r="J642" s="7">
        <f t="shared" si="19"/>
        <v>4262.4055027003305</v>
      </c>
      <c r="K642" s="1">
        <f>IF(B642="North",28.6,
IF(B642="South",13,
IF(B642="East",22.6,
IF(B642="West",19,
23.5))))</f>
        <v>19</v>
      </c>
      <c r="L642" s="1">
        <f>IF(B642="North",77.2,
IF(B642="South",80.2,
IF(B642="East",88.4,
IF(B642="West",72.8,
78.9))))</f>
        <v>72.8</v>
      </c>
    </row>
    <row r="643" spans="1:12" x14ac:dyDescent="0.25">
      <c r="A643" s="5">
        <v>45432</v>
      </c>
      <c r="B643" s="1" t="s">
        <v>10</v>
      </c>
      <c r="C643" s="1" t="s">
        <v>18</v>
      </c>
      <c r="D643" s="1" t="s">
        <v>32</v>
      </c>
      <c r="E643" s="10">
        <v>7</v>
      </c>
      <c r="F643" s="10">
        <v>1561</v>
      </c>
      <c r="G643" s="1" t="s">
        <v>34</v>
      </c>
      <c r="H643" s="10">
        <f t="shared" ref="H643:H706" si="20">E643*F643</f>
        <v>10927</v>
      </c>
      <c r="I643" s="7">
        <v>8880.7346808118764</v>
      </c>
      <c r="J643" s="7">
        <f t="shared" ref="J643:J706" si="21">H643-I643</f>
        <v>2046.2653191881236</v>
      </c>
      <c r="K643" s="1">
        <f>IF(B643="North",28.6,
IF(B643="South",13,
IF(B643="East",22.6,
IF(B643="West",19,
23.5))))</f>
        <v>28.6</v>
      </c>
      <c r="L643" s="1">
        <f>IF(B643="North",77.2,
IF(B643="South",80.2,
IF(B643="East",88.4,
IF(B643="West",72.8,
78.9))))</f>
        <v>77.2</v>
      </c>
    </row>
    <row r="644" spans="1:12" x14ac:dyDescent="0.25">
      <c r="A644" s="5">
        <v>45533</v>
      </c>
      <c r="B644" s="1" t="s">
        <v>11</v>
      </c>
      <c r="C644" s="1" t="s">
        <v>24</v>
      </c>
      <c r="D644" s="1" t="s">
        <v>31</v>
      </c>
      <c r="E644" s="10">
        <v>9</v>
      </c>
      <c r="F644" s="10">
        <v>1169</v>
      </c>
      <c r="G644" s="1" t="s">
        <v>35</v>
      </c>
      <c r="H644" s="10">
        <f t="shared" si="20"/>
        <v>10521</v>
      </c>
      <c r="I644" s="7">
        <v>7606.6240382842352</v>
      </c>
      <c r="J644" s="7">
        <f t="shared" si="21"/>
        <v>2914.3759617157648</v>
      </c>
      <c r="K644" s="1">
        <f>IF(B644="North",28.6,
IF(B644="South",13,
IF(B644="East",22.6,
IF(B644="West",19,
23.5))))</f>
        <v>19</v>
      </c>
      <c r="L644" s="1">
        <f>IF(B644="North",77.2,
IF(B644="South",80.2,
IF(B644="East",88.4,
IF(B644="West",72.8,
78.9))))</f>
        <v>72.8</v>
      </c>
    </row>
    <row r="645" spans="1:12" x14ac:dyDescent="0.25">
      <c r="A645" s="5">
        <v>45511</v>
      </c>
      <c r="B645" s="1" t="s">
        <v>11</v>
      </c>
      <c r="C645" s="1" t="s">
        <v>17</v>
      </c>
      <c r="D645" s="1" t="s">
        <v>28</v>
      </c>
      <c r="E645" s="10">
        <v>10</v>
      </c>
      <c r="F645" s="10">
        <v>1913</v>
      </c>
      <c r="G645" s="1" t="s">
        <v>33</v>
      </c>
      <c r="H645" s="10">
        <f t="shared" si="20"/>
        <v>19130</v>
      </c>
      <c r="I645" s="7">
        <f>H645*0.7</f>
        <v>13391</v>
      </c>
      <c r="J645" s="7">
        <f t="shared" si="21"/>
        <v>5739</v>
      </c>
      <c r="K645" s="1">
        <f>IF(B645="North",28.6,
IF(B645="South",13,
IF(B645="East",22.6,
IF(B645="West",19,
23.5))))</f>
        <v>19</v>
      </c>
      <c r="L645" s="1">
        <f>IF(B645="North",77.2,
IF(B645="South",80.2,
IF(B645="East",88.4,
IF(B645="West",72.8,
78.9))))</f>
        <v>72.8</v>
      </c>
    </row>
    <row r="646" spans="1:12" x14ac:dyDescent="0.25">
      <c r="A646" s="5">
        <v>45417</v>
      </c>
      <c r="B646" s="1" t="s">
        <v>12</v>
      </c>
      <c r="C646" s="1" t="s">
        <v>22</v>
      </c>
      <c r="D646" s="1" t="s">
        <v>30</v>
      </c>
      <c r="E646" s="10">
        <v>11</v>
      </c>
      <c r="F646" s="10">
        <v>1315</v>
      </c>
      <c r="G646" s="1" t="s">
        <v>35</v>
      </c>
      <c r="H646" s="10">
        <f t="shared" si="20"/>
        <v>14465</v>
      </c>
      <c r="I646" s="7">
        <v>12101.60497424972</v>
      </c>
      <c r="J646" s="7">
        <f t="shared" si="21"/>
        <v>2363.3950257502802</v>
      </c>
      <c r="K646" s="1">
        <f>IF(B646="North",28.6,
IF(B646="South",13,
IF(B646="East",22.6,
IF(B646="West",19,
23.5))))</f>
        <v>22.6</v>
      </c>
      <c r="L646" s="1">
        <f>IF(B646="North",77.2,
IF(B646="South",80.2,
IF(B646="East",88.4,
IF(B646="West",72.8,
78.9))))</f>
        <v>88.4</v>
      </c>
    </row>
    <row r="647" spans="1:12" x14ac:dyDescent="0.25">
      <c r="A647" s="5">
        <v>45349</v>
      </c>
      <c r="B647" s="1" t="s">
        <v>11</v>
      </c>
      <c r="C647" s="1" t="s">
        <v>17</v>
      </c>
      <c r="D647" s="1" t="s">
        <v>29</v>
      </c>
      <c r="E647" s="10">
        <v>14</v>
      </c>
      <c r="F647" s="10">
        <v>1643</v>
      </c>
      <c r="G647" s="1" t="s">
        <v>33</v>
      </c>
      <c r="H647" s="10">
        <f t="shared" si="20"/>
        <v>23002</v>
      </c>
      <c r="I647" s="7">
        <v>18527.096634766629</v>
      </c>
      <c r="J647" s="7">
        <f t="shared" si="21"/>
        <v>4474.903365233371</v>
      </c>
      <c r="K647" s="1">
        <f>IF(B647="North",28.6,
IF(B647="South",13,
IF(B647="East",22.6,
IF(B647="West",19,
23.5))))</f>
        <v>19</v>
      </c>
      <c r="L647" s="1">
        <f>IF(B647="North",77.2,
IF(B647="South",80.2,
IF(B647="East",88.4,
IF(B647="West",72.8,
78.9))))</f>
        <v>72.8</v>
      </c>
    </row>
    <row r="648" spans="1:12" x14ac:dyDescent="0.25">
      <c r="A648" s="5">
        <v>45439</v>
      </c>
      <c r="B648" s="1" t="s">
        <v>10</v>
      </c>
      <c r="C648" s="1" t="s">
        <v>19</v>
      </c>
      <c r="D648" s="1" t="s">
        <v>25</v>
      </c>
      <c r="E648" s="10">
        <v>7</v>
      </c>
      <c r="F648" s="10">
        <v>1502</v>
      </c>
      <c r="G648" s="1" t="s">
        <v>35</v>
      </c>
      <c r="H648" s="10">
        <f t="shared" si="20"/>
        <v>10514</v>
      </c>
      <c r="I648" s="7">
        <v>9305.2794032036218</v>
      </c>
      <c r="J648" s="7">
        <f t="shared" si="21"/>
        <v>1208.7205967963782</v>
      </c>
      <c r="K648" s="1">
        <f>IF(B648="North",28.6,
IF(B648="South",13,
IF(B648="East",22.6,
IF(B648="West",19,
23.5))))</f>
        <v>28.6</v>
      </c>
      <c r="L648" s="1">
        <f>IF(B648="North",77.2,
IF(B648="South",80.2,
IF(B648="East",88.4,
IF(B648="West",72.8,
78.9))))</f>
        <v>77.2</v>
      </c>
    </row>
    <row r="649" spans="1:12" x14ac:dyDescent="0.25">
      <c r="A649" s="5">
        <v>45608</v>
      </c>
      <c r="B649" s="1" t="s">
        <v>10</v>
      </c>
      <c r="C649" s="1" t="s">
        <v>19</v>
      </c>
      <c r="D649" s="1" t="s">
        <v>25</v>
      </c>
      <c r="E649" s="10">
        <v>1</v>
      </c>
      <c r="F649" s="10">
        <v>887</v>
      </c>
      <c r="G649" s="1" t="s">
        <v>35</v>
      </c>
      <c r="H649" s="10">
        <f t="shared" si="20"/>
        <v>887</v>
      </c>
      <c r="I649" s="7">
        <v>646.28137439311627</v>
      </c>
      <c r="J649" s="7">
        <f t="shared" si="21"/>
        <v>240.71862560688373</v>
      </c>
      <c r="K649" s="1">
        <f>IF(B649="North",28.6,
IF(B649="South",13,
IF(B649="East",22.6,
IF(B649="West",19,
23.5))))</f>
        <v>28.6</v>
      </c>
      <c r="L649" s="1">
        <f>IF(B649="North",77.2,
IF(B649="South",80.2,
IF(B649="East",88.4,
IF(B649="West",72.8,
78.9))))</f>
        <v>77.2</v>
      </c>
    </row>
    <row r="650" spans="1:12" x14ac:dyDescent="0.25">
      <c r="A650" s="5">
        <v>45652</v>
      </c>
      <c r="B650" s="1" t="s">
        <v>12</v>
      </c>
      <c r="C650" s="1" t="s">
        <v>20</v>
      </c>
      <c r="D650" s="1" t="s">
        <v>31</v>
      </c>
      <c r="E650" s="10">
        <v>13</v>
      </c>
      <c r="F650" s="10">
        <v>790</v>
      </c>
      <c r="G650" s="1" t="s">
        <v>33</v>
      </c>
      <c r="H650" s="10">
        <f t="shared" si="20"/>
        <v>10270</v>
      </c>
      <c r="I650" s="7">
        <v>6402.9516289430831</v>
      </c>
      <c r="J650" s="7">
        <f t="shared" si="21"/>
        <v>3867.0483710569169</v>
      </c>
      <c r="K650" s="1">
        <f>IF(B650="North",28.6,
IF(B650="South",13,
IF(B650="East",22.6,
IF(B650="West",19,
23.5))))</f>
        <v>22.6</v>
      </c>
      <c r="L650" s="1">
        <f>IF(B650="North",77.2,
IF(B650="South",80.2,
IF(B650="East",88.4,
IF(B650="West",72.8,
78.9))))</f>
        <v>88.4</v>
      </c>
    </row>
    <row r="651" spans="1:12" x14ac:dyDescent="0.25">
      <c r="A651" s="5">
        <v>45292</v>
      </c>
      <c r="B651" s="1" t="s">
        <v>11</v>
      </c>
      <c r="C651" s="1" t="s">
        <v>17</v>
      </c>
      <c r="D651" s="1" t="s">
        <v>29</v>
      </c>
      <c r="E651" s="10">
        <v>3</v>
      </c>
      <c r="F651" s="10">
        <v>1457</v>
      </c>
      <c r="G651" s="1" t="s">
        <v>33</v>
      </c>
      <c r="H651" s="10">
        <f t="shared" si="20"/>
        <v>4371</v>
      </c>
      <c r="I651" s="7">
        <v>2782.0789768181198</v>
      </c>
      <c r="J651" s="7">
        <f t="shared" si="21"/>
        <v>1588.9210231818802</v>
      </c>
      <c r="K651" s="1">
        <f>IF(B651="North",28.6,
IF(B651="South",13,
IF(B651="East",22.6,
IF(B651="West",19,
23.5))))</f>
        <v>19</v>
      </c>
      <c r="L651" s="1">
        <f>IF(B651="North",77.2,
IF(B651="South",80.2,
IF(B651="East",88.4,
IF(B651="West",72.8,
78.9))))</f>
        <v>72.8</v>
      </c>
    </row>
    <row r="652" spans="1:12" x14ac:dyDescent="0.25">
      <c r="A652" s="5">
        <v>45639</v>
      </c>
      <c r="B652" s="1" t="s">
        <v>11</v>
      </c>
      <c r="C652" s="1" t="s">
        <v>23</v>
      </c>
      <c r="D652" s="1" t="s">
        <v>25</v>
      </c>
      <c r="E652" s="10">
        <v>4</v>
      </c>
      <c r="F652" s="10">
        <v>138</v>
      </c>
      <c r="G652" s="1" t="s">
        <v>34</v>
      </c>
      <c r="H652" s="10">
        <f t="shared" si="20"/>
        <v>552</v>
      </c>
      <c r="I652" s="7">
        <v>459.26171635442972</v>
      </c>
      <c r="J652" s="7">
        <f t="shared" si="21"/>
        <v>92.738283645570277</v>
      </c>
      <c r="K652" s="1">
        <f>IF(B652="North",28.6,
IF(B652="South",13,
IF(B652="East",22.6,
IF(B652="West",19,
23.5))))</f>
        <v>19</v>
      </c>
      <c r="L652" s="1">
        <f>IF(B652="North",77.2,
IF(B652="South",80.2,
IF(B652="East",88.4,
IF(B652="West",72.8,
78.9))))</f>
        <v>72.8</v>
      </c>
    </row>
    <row r="653" spans="1:12" x14ac:dyDescent="0.25">
      <c r="A653" s="5">
        <v>45481</v>
      </c>
      <c r="B653" s="1" t="s">
        <v>10</v>
      </c>
      <c r="C653" s="1" t="s">
        <v>20</v>
      </c>
      <c r="D653" s="1" t="s">
        <v>29</v>
      </c>
      <c r="E653" s="10">
        <v>11</v>
      </c>
      <c r="F653" s="10">
        <v>1416</v>
      </c>
      <c r="G653" s="1" t="s">
        <v>33</v>
      </c>
      <c r="H653" s="10">
        <f t="shared" si="20"/>
        <v>15576</v>
      </c>
      <c r="I653" s="7">
        <v>9662.2162309678497</v>
      </c>
      <c r="J653" s="7">
        <f t="shared" si="21"/>
        <v>5913.7837690321503</v>
      </c>
      <c r="K653" s="1">
        <f>IF(B653="North",28.6,
IF(B653="South",13,
IF(B653="East",22.6,
IF(B653="West",19,
23.5))))</f>
        <v>28.6</v>
      </c>
      <c r="L653" s="1">
        <f>IF(B653="North",77.2,
IF(B653="South",80.2,
IF(B653="East",88.4,
IF(B653="West",72.8,
78.9))))</f>
        <v>77.2</v>
      </c>
    </row>
    <row r="654" spans="1:12" x14ac:dyDescent="0.25">
      <c r="A654" s="5">
        <v>45482</v>
      </c>
      <c r="B654" s="1" t="s">
        <v>11</v>
      </c>
      <c r="C654" s="1" t="s">
        <v>23</v>
      </c>
      <c r="D654" s="1" t="s">
        <v>32</v>
      </c>
      <c r="E654" s="10">
        <v>2</v>
      </c>
      <c r="F654" s="10">
        <v>789</v>
      </c>
      <c r="G654" s="1" t="s">
        <v>34</v>
      </c>
      <c r="H654" s="10">
        <f t="shared" si="20"/>
        <v>1578</v>
      </c>
      <c r="I654" s="7">
        <v>1376.564897009524</v>
      </c>
      <c r="J654" s="7">
        <f t="shared" si="21"/>
        <v>201.43510299047603</v>
      </c>
      <c r="K654" s="1">
        <f>IF(B654="North",28.6,
IF(B654="South",13,
IF(B654="East",22.6,
IF(B654="West",19,
23.5))))</f>
        <v>19</v>
      </c>
      <c r="L654" s="1">
        <f>IF(B654="North",77.2,
IF(B654="South",80.2,
IF(B654="East",88.4,
IF(B654="West",72.8,
78.9))))</f>
        <v>72.8</v>
      </c>
    </row>
    <row r="655" spans="1:12" x14ac:dyDescent="0.25">
      <c r="A655" s="5">
        <v>45603</v>
      </c>
      <c r="B655" s="1" t="s">
        <v>11</v>
      </c>
      <c r="C655" s="1" t="s">
        <v>20</v>
      </c>
      <c r="D655" s="1" t="s">
        <v>26</v>
      </c>
      <c r="E655" s="10">
        <v>14</v>
      </c>
      <c r="F655" s="10">
        <v>261</v>
      </c>
      <c r="G655" s="1" t="s">
        <v>33</v>
      </c>
      <c r="H655" s="10">
        <f t="shared" si="20"/>
        <v>3654</v>
      </c>
      <c r="I655" s="7">
        <v>2501.1448520017821</v>
      </c>
      <c r="J655" s="7">
        <f t="shared" si="21"/>
        <v>1152.8551479982179</v>
      </c>
      <c r="K655" s="1">
        <f>IF(B655="North",28.6,
IF(B655="South",13,
IF(B655="East",22.6,
IF(B655="West",19,
23.5))))</f>
        <v>19</v>
      </c>
      <c r="L655" s="1">
        <f>IF(B655="North",77.2,
IF(B655="South",80.2,
IF(B655="East",88.4,
IF(B655="West",72.8,
78.9))))</f>
        <v>72.8</v>
      </c>
    </row>
    <row r="656" spans="1:12" x14ac:dyDescent="0.25">
      <c r="A656" s="5">
        <v>45408</v>
      </c>
      <c r="B656" s="1" t="s">
        <v>11</v>
      </c>
      <c r="C656" s="1" t="s">
        <v>19</v>
      </c>
      <c r="D656" s="1" t="s">
        <v>30</v>
      </c>
      <c r="E656" s="10">
        <v>12</v>
      </c>
      <c r="F656" s="10">
        <v>1454</v>
      </c>
      <c r="G656" s="1" t="s">
        <v>35</v>
      </c>
      <c r="H656" s="10">
        <f t="shared" si="20"/>
        <v>17448</v>
      </c>
      <c r="I656" s="7">
        <v>15173.892450008419</v>
      </c>
      <c r="J656" s="7">
        <f t="shared" si="21"/>
        <v>2274.1075499915805</v>
      </c>
      <c r="K656" s="1">
        <f>IF(B656="North",28.6,
IF(B656="South",13,
IF(B656="East",22.6,
IF(B656="West",19,
23.5))))</f>
        <v>19</v>
      </c>
      <c r="L656" s="1">
        <f>IF(B656="North",77.2,
IF(B656="South",80.2,
IF(B656="East",88.4,
IF(B656="West",72.8,
78.9))))</f>
        <v>72.8</v>
      </c>
    </row>
    <row r="657" spans="1:12" x14ac:dyDescent="0.25">
      <c r="A657" s="5">
        <v>45425</v>
      </c>
      <c r="B657" s="1" t="s">
        <v>13</v>
      </c>
      <c r="C657" s="1" t="s">
        <v>20</v>
      </c>
      <c r="D657" s="1" t="s">
        <v>29</v>
      </c>
      <c r="E657" s="10">
        <v>17</v>
      </c>
      <c r="F657" s="10">
        <v>1227</v>
      </c>
      <c r="G657" s="1" t="s">
        <v>33</v>
      </c>
      <c r="H657" s="10">
        <f t="shared" si="20"/>
        <v>20859</v>
      </c>
      <c r="I657" s="7">
        <v>17355.77380774168</v>
      </c>
      <c r="J657" s="7">
        <f t="shared" si="21"/>
        <v>3503.2261922583202</v>
      </c>
      <c r="K657" s="1">
        <f>IF(B657="North",28.6,
IF(B657="South",13,
IF(B657="East",22.6,
IF(B657="West",19,
23.5))))</f>
        <v>13</v>
      </c>
      <c r="L657" s="1">
        <f>IF(B657="North",77.2,
IF(B657="South",80.2,
IF(B657="East",88.4,
IF(B657="West",72.8,
78.9))))</f>
        <v>80.2</v>
      </c>
    </row>
    <row r="658" spans="1:12" x14ac:dyDescent="0.25">
      <c r="A658" s="5">
        <v>45349</v>
      </c>
      <c r="B658" s="1" t="s">
        <v>12</v>
      </c>
      <c r="C658" s="1" t="s">
        <v>19</v>
      </c>
      <c r="D658" s="1" t="s">
        <v>27</v>
      </c>
      <c r="E658" s="10">
        <v>12</v>
      </c>
      <c r="F658" s="10">
        <v>260</v>
      </c>
      <c r="G658" s="1" t="s">
        <v>35</v>
      </c>
      <c r="H658" s="10">
        <f t="shared" si="20"/>
        <v>3120</v>
      </c>
      <c r="I658" s="7">
        <v>2687.4441699690219</v>
      </c>
      <c r="J658" s="7">
        <f t="shared" si="21"/>
        <v>432.55583003097809</v>
      </c>
      <c r="K658" s="1">
        <f>IF(B658="North",28.6,
IF(B658="South",13,
IF(B658="East",22.6,
IF(B658="West",19,
23.5))))</f>
        <v>22.6</v>
      </c>
      <c r="L658" s="1">
        <f>IF(B658="North",77.2,
IF(B658="South",80.2,
IF(B658="East",88.4,
IF(B658="West",72.8,
78.9))))</f>
        <v>88.4</v>
      </c>
    </row>
    <row r="659" spans="1:12" x14ac:dyDescent="0.25">
      <c r="A659" s="5">
        <v>45335</v>
      </c>
      <c r="B659" s="1" t="s">
        <v>13</v>
      </c>
      <c r="C659" s="1" t="s">
        <v>18</v>
      </c>
      <c r="D659" s="1" t="s">
        <v>28</v>
      </c>
      <c r="E659" s="10">
        <v>12</v>
      </c>
      <c r="F659" s="10">
        <v>1922</v>
      </c>
      <c r="G659" s="1" t="s">
        <v>34</v>
      </c>
      <c r="H659" s="10">
        <f t="shared" si="20"/>
        <v>23064</v>
      </c>
      <c r="I659" s="7">
        <v>15319.383435294751</v>
      </c>
      <c r="J659" s="7">
        <f t="shared" si="21"/>
        <v>7744.6165647052494</v>
      </c>
      <c r="K659" s="1">
        <f>IF(B659="North",28.6,
IF(B659="South",13,
IF(B659="East",22.6,
IF(B659="West",19,
23.5))))</f>
        <v>13</v>
      </c>
      <c r="L659" s="1">
        <f>IF(B659="North",77.2,
IF(B659="South",80.2,
IF(B659="East",88.4,
IF(B659="West",72.8,
78.9))))</f>
        <v>80.2</v>
      </c>
    </row>
    <row r="660" spans="1:12" x14ac:dyDescent="0.25">
      <c r="A660" s="5">
        <v>45464</v>
      </c>
      <c r="B660" s="1" t="s">
        <v>12</v>
      </c>
      <c r="C660" s="1" t="s">
        <v>22</v>
      </c>
      <c r="D660" s="1" t="s">
        <v>27</v>
      </c>
      <c r="E660" s="10">
        <v>1</v>
      </c>
      <c r="F660" s="10">
        <v>1758</v>
      </c>
      <c r="G660" s="1" t="s">
        <v>35</v>
      </c>
      <c r="H660" s="10">
        <f t="shared" si="20"/>
        <v>1758</v>
      </c>
      <c r="I660" s="7">
        <v>1368.968749692076</v>
      </c>
      <c r="J660" s="7">
        <f t="shared" si="21"/>
        <v>389.03125030792398</v>
      </c>
      <c r="K660" s="1">
        <f>IF(B660="North",28.6,
IF(B660="South",13,
IF(B660="East",22.6,
IF(B660="West",19,
23.5))))</f>
        <v>22.6</v>
      </c>
      <c r="L660" s="1">
        <f>IF(B660="North",77.2,
IF(B660="South",80.2,
IF(B660="East",88.4,
IF(B660="West",72.8,
78.9))))</f>
        <v>88.4</v>
      </c>
    </row>
    <row r="661" spans="1:12" x14ac:dyDescent="0.25">
      <c r="A661" s="5">
        <v>45451</v>
      </c>
      <c r="B661" s="1" t="s">
        <v>10</v>
      </c>
      <c r="C661" s="1" t="s">
        <v>23</v>
      </c>
      <c r="D661" s="1" t="s">
        <v>25</v>
      </c>
      <c r="E661" s="10">
        <v>13</v>
      </c>
      <c r="F661" s="10">
        <v>1177</v>
      </c>
      <c r="G661" s="1" t="s">
        <v>34</v>
      </c>
      <c r="H661" s="10">
        <f t="shared" si="20"/>
        <v>15301</v>
      </c>
      <c r="I661" s="7">
        <v>9610.2021929520397</v>
      </c>
      <c r="J661" s="7">
        <f t="shared" si="21"/>
        <v>5690.7978070479603</v>
      </c>
      <c r="K661" s="1">
        <f>IF(B661="North",28.6,
IF(B661="South",13,
IF(B661="East",22.6,
IF(B661="West",19,
23.5))))</f>
        <v>28.6</v>
      </c>
      <c r="L661" s="1">
        <f>IF(B661="North",77.2,
IF(B661="South",80.2,
IF(B661="East",88.4,
IF(B661="West",72.8,
78.9))))</f>
        <v>77.2</v>
      </c>
    </row>
    <row r="662" spans="1:12" x14ac:dyDescent="0.25">
      <c r="A662" s="5">
        <v>45464</v>
      </c>
      <c r="B662" s="1" t="s">
        <v>11</v>
      </c>
      <c r="C662" s="1" t="s">
        <v>17</v>
      </c>
      <c r="D662" s="1" t="s">
        <v>32</v>
      </c>
      <c r="E662" s="10">
        <v>14</v>
      </c>
      <c r="F662" s="10">
        <v>1157</v>
      </c>
      <c r="G662" s="1" t="s">
        <v>33</v>
      </c>
      <c r="H662" s="10">
        <f t="shared" si="20"/>
        <v>16198</v>
      </c>
      <c r="I662" s="7">
        <v>10701.76316178084</v>
      </c>
      <c r="J662" s="7">
        <f t="shared" si="21"/>
        <v>5496.2368382191598</v>
      </c>
      <c r="K662" s="1">
        <f>IF(B662="North",28.6,
IF(B662="South",13,
IF(B662="East",22.6,
IF(B662="West",19,
23.5))))</f>
        <v>19</v>
      </c>
      <c r="L662" s="1">
        <f>IF(B662="North",77.2,
IF(B662="South",80.2,
IF(B662="East",88.4,
IF(B662="West",72.8,
78.9))))</f>
        <v>72.8</v>
      </c>
    </row>
    <row r="663" spans="1:12" x14ac:dyDescent="0.25">
      <c r="A663" s="5">
        <v>45608</v>
      </c>
      <c r="B663" s="1" t="s">
        <v>12</v>
      </c>
      <c r="C663" s="1" t="s">
        <v>18</v>
      </c>
      <c r="D663" s="1" t="s">
        <v>32</v>
      </c>
      <c r="E663" s="10">
        <v>2</v>
      </c>
      <c r="F663" s="10">
        <v>341</v>
      </c>
      <c r="G663" s="1" t="s">
        <v>34</v>
      </c>
      <c r="H663" s="10">
        <f t="shared" si="20"/>
        <v>682</v>
      </c>
      <c r="I663" s="7">
        <v>472.60599571320512</v>
      </c>
      <c r="J663" s="7">
        <f t="shared" si="21"/>
        <v>209.39400428679488</v>
      </c>
      <c r="K663" s="1">
        <f>IF(B663="North",28.6,
IF(B663="South",13,
IF(B663="East",22.6,
IF(B663="West",19,
23.5))))</f>
        <v>22.6</v>
      </c>
      <c r="L663" s="1">
        <f>IF(B663="North",77.2,
IF(B663="South",80.2,
IF(B663="East",88.4,
IF(B663="West",72.8,
78.9))))</f>
        <v>88.4</v>
      </c>
    </row>
    <row r="664" spans="1:12" x14ac:dyDescent="0.25">
      <c r="A664" s="5">
        <v>45594</v>
      </c>
      <c r="B664" s="1" t="s">
        <v>13</v>
      </c>
      <c r="C664" s="1" t="s">
        <v>18</v>
      </c>
      <c r="D664" s="1" t="s">
        <v>27</v>
      </c>
      <c r="E664" s="10">
        <v>12</v>
      </c>
      <c r="F664" s="10">
        <v>1066</v>
      </c>
      <c r="G664" s="1" t="s">
        <v>34</v>
      </c>
      <c r="H664" s="10">
        <f t="shared" si="20"/>
        <v>12792</v>
      </c>
      <c r="I664" s="7">
        <v>10518.14240117886</v>
      </c>
      <c r="J664" s="7">
        <f t="shared" si="21"/>
        <v>2273.8575988211396</v>
      </c>
      <c r="K664" s="1">
        <f>IF(B664="North",28.6,
IF(B664="South",13,
IF(B664="East",22.6,
IF(B664="West",19,
23.5))))</f>
        <v>13</v>
      </c>
      <c r="L664" s="1">
        <f>IF(B664="North",77.2,
IF(B664="South",80.2,
IF(B664="East",88.4,
IF(B664="West",72.8,
78.9))))</f>
        <v>80.2</v>
      </c>
    </row>
    <row r="665" spans="1:12" x14ac:dyDescent="0.25">
      <c r="A665" s="5">
        <v>45440</v>
      </c>
      <c r="B665" s="1" t="s">
        <v>11</v>
      </c>
      <c r="C665" s="1" t="s">
        <v>20</v>
      </c>
      <c r="D665" s="1" t="s">
        <v>30</v>
      </c>
      <c r="E665" s="10">
        <v>16</v>
      </c>
      <c r="F665" s="10">
        <v>989</v>
      </c>
      <c r="G665" s="1" t="s">
        <v>33</v>
      </c>
      <c r="H665" s="10">
        <f t="shared" si="20"/>
        <v>15824</v>
      </c>
      <c r="I665" s="7">
        <v>9611.7241018330078</v>
      </c>
      <c r="J665" s="7">
        <f t="shared" si="21"/>
        <v>6212.2758981669922</v>
      </c>
      <c r="K665" s="1">
        <f>IF(B665="North",28.6,
IF(B665="South",13,
IF(B665="East",22.6,
IF(B665="West",19,
23.5))))</f>
        <v>19</v>
      </c>
      <c r="L665" s="1">
        <f>IF(B665="North",77.2,
IF(B665="South",80.2,
IF(B665="East",88.4,
IF(B665="West",72.8,
78.9))))</f>
        <v>72.8</v>
      </c>
    </row>
    <row r="666" spans="1:12" x14ac:dyDescent="0.25">
      <c r="A666" s="5">
        <v>45371</v>
      </c>
      <c r="B666" s="1" t="s">
        <v>10</v>
      </c>
      <c r="C666" s="1" t="s">
        <v>19</v>
      </c>
      <c r="D666" s="1" t="s">
        <v>27</v>
      </c>
      <c r="E666" s="10">
        <v>4</v>
      </c>
      <c r="F666" s="10">
        <v>212</v>
      </c>
      <c r="G666" s="1" t="s">
        <v>35</v>
      </c>
      <c r="H666" s="10">
        <f t="shared" si="20"/>
        <v>848</v>
      </c>
      <c r="I666" s="7">
        <v>738.55303676267147</v>
      </c>
      <c r="J666" s="7">
        <f t="shared" si="21"/>
        <v>109.44696323732853</v>
      </c>
      <c r="K666" s="1">
        <f>IF(B666="North",28.6,
IF(B666="South",13,
IF(B666="East",22.6,
IF(B666="West",19,
23.5))))</f>
        <v>28.6</v>
      </c>
      <c r="L666" s="1">
        <f>IF(B666="North",77.2,
IF(B666="South",80.2,
IF(B666="East",88.4,
IF(B666="West",72.8,
78.9))))</f>
        <v>77.2</v>
      </c>
    </row>
    <row r="667" spans="1:12" x14ac:dyDescent="0.25">
      <c r="A667" s="5">
        <v>45504</v>
      </c>
      <c r="B667" s="1" t="s">
        <v>12</v>
      </c>
      <c r="C667" s="1" t="s">
        <v>24</v>
      </c>
      <c r="D667" s="1" t="s">
        <v>31</v>
      </c>
      <c r="E667" s="10">
        <v>8</v>
      </c>
      <c r="F667" s="10">
        <v>1113</v>
      </c>
      <c r="G667" s="1" t="s">
        <v>35</v>
      </c>
      <c r="H667" s="10">
        <f t="shared" si="20"/>
        <v>8904</v>
      </c>
      <c r="I667" s="7">
        <v>5531.5303458299568</v>
      </c>
      <c r="J667" s="7">
        <f t="shared" si="21"/>
        <v>3372.4696541700432</v>
      </c>
      <c r="K667" s="1">
        <f>IF(B667="North",28.6,
IF(B667="South",13,
IF(B667="East",22.6,
IF(B667="West",19,
23.5))))</f>
        <v>22.6</v>
      </c>
      <c r="L667" s="1">
        <f>IF(B667="North",77.2,
IF(B667="South",80.2,
IF(B667="East",88.4,
IF(B667="West",72.8,
78.9))))</f>
        <v>88.4</v>
      </c>
    </row>
    <row r="668" spans="1:12" x14ac:dyDescent="0.25">
      <c r="A668" s="5">
        <v>45494</v>
      </c>
      <c r="B668" s="1" t="s">
        <v>12</v>
      </c>
      <c r="C668" s="1" t="s">
        <v>23</v>
      </c>
      <c r="D668" s="1" t="s">
        <v>25</v>
      </c>
      <c r="E668" s="10">
        <v>2</v>
      </c>
      <c r="F668" s="10">
        <v>417</v>
      </c>
      <c r="G668" s="1" t="s">
        <v>34</v>
      </c>
      <c r="H668" s="10">
        <f t="shared" si="20"/>
        <v>834</v>
      </c>
      <c r="I668" s="7">
        <v>594.59784687522574</v>
      </c>
      <c r="J668" s="7">
        <f t="shared" si="21"/>
        <v>239.40215312477426</v>
      </c>
      <c r="K668" s="1">
        <f>IF(B668="North",28.6,
IF(B668="South",13,
IF(B668="East",22.6,
IF(B668="West",19,
23.5))))</f>
        <v>22.6</v>
      </c>
      <c r="L668" s="1">
        <f>IF(B668="North",77.2,
IF(B668="South",80.2,
IF(B668="East",88.4,
IF(B668="West",72.8,
78.9))))</f>
        <v>88.4</v>
      </c>
    </row>
    <row r="669" spans="1:12" x14ac:dyDescent="0.25">
      <c r="A669" s="5">
        <v>45543</v>
      </c>
      <c r="B669" s="1" t="s">
        <v>12</v>
      </c>
      <c r="C669" s="1" t="s">
        <v>18</v>
      </c>
      <c r="D669" s="1" t="s">
        <v>25</v>
      </c>
      <c r="E669" s="10">
        <v>10</v>
      </c>
      <c r="F669" s="10">
        <v>122</v>
      </c>
      <c r="G669" s="1" t="s">
        <v>34</v>
      </c>
      <c r="H669" s="10">
        <f t="shared" si="20"/>
        <v>1220</v>
      </c>
      <c r="I669" s="7">
        <v>761.67880396826172</v>
      </c>
      <c r="J669" s="7">
        <f t="shared" si="21"/>
        <v>458.32119603173828</v>
      </c>
      <c r="K669" s="1">
        <f>IF(B669="North",28.6,
IF(B669="South",13,
IF(B669="East",22.6,
IF(B669="West",19,
23.5))))</f>
        <v>22.6</v>
      </c>
      <c r="L669" s="1">
        <f>IF(B669="North",77.2,
IF(B669="South",80.2,
IF(B669="East",88.4,
IF(B669="West",72.8,
78.9))))</f>
        <v>88.4</v>
      </c>
    </row>
    <row r="670" spans="1:12" x14ac:dyDescent="0.25">
      <c r="A670" s="5">
        <v>45520</v>
      </c>
      <c r="B670" s="1" t="s">
        <v>11</v>
      </c>
      <c r="C670" s="1" t="s">
        <v>20</v>
      </c>
      <c r="D670" s="1" t="s">
        <v>27</v>
      </c>
      <c r="E670" s="10">
        <v>9</v>
      </c>
      <c r="F670" s="10">
        <v>1681</v>
      </c>
      <c r="G670" s="1" t="s">
        <v>33</v>
      </c>
      <c r="H670" s="10">
        <f t="shared" si="20"/>
        <v>15129</v>
      </c>
      <c r="I670" s="7">
        <v>12567.51434949328</v>
      </c>
      <c r="J670" s="7">
        <f t="shared" si="21"/>
        <v>2561.48565050672</v>
      </c>
      <c r="K670" s="1">
        <f>IF(B670="North",28.6,
IF(B670="South",13,
IF(B670="East",22.6,
IF(B670="West",19,
23.5))))</f>
        <v>19</v>
      </c>
      <c r="L670" s="1">
        <f>IF(B670="North",77.2,
IF(B670="South",80.2,
IF(B670="East",88.4,
IF(B670="West",72.8,
78.9))))</f>
        <v>72.8</v>
      </c>
    </row>
    <row r="671" spans="1:12" x14ac:dyDescent="0.25">
      <c r="A671" s="5">
        <v>45455</v>
      </c>
      <c r="B671" s="1" t="s">
        <v>13</v>
      </c>
      <c r="C671" s="1" t="s">
        <v>21</v>
      </c>
      <c r="D671" s="1" t="s">
        <v>28</v>
      </c>
      <c r="E671" s="10">
        <v>15</v>
      </c>
      <c r="F671" s="10">
        <v>923</v>
      </c>
      <c r="G671" s="1" t="s">
        <v>35</v>
      </c>
      <c r="H671" s="10">
        <f t="shared" si="20"/>
        <v>13845</v>
      </c>
      <c r="I671" s="7">
        <v>8893.9517420283501</v>
      </c>
      <c r="J671" s="7">
        <f t="shared" si="21"/>
        <v>4951.0482579716499</v>
      </c>
      <c r="K671" s="1">
        <f>IF(B671="North",28.6,
IF(B671="South",13,
IF(B671="East",22.6,
IF(B671="West",19,
23.5))))</f>
        <v>13</v>
      </c>
      <c r="L671" s="1">
        <f>IF(B671="North",77.2,
IF(B671="South",80.2,
IF(B671="East",88.4,
IF(B671="West",72.8,
78.9))))</f>
        <v>80.2</v>
      </c>
    </row>
    <row r="672" spans="1:12" x14ac:dyDescent="0.25">
      <c r="A672" s="5">
        <v>45518</v>
      </c>
      <c r="B672" s="1" t="s">
        <v>13</v>
      </c>
      <c r="C672" s="1" t="s">
        <v>22</v>
      </c>
      <c r="D672" s="1" t="s">
        <v>28</v>
      </c>
      <c r="E672" s="10">
        <v>13</v>
      </c>
      <c r="F672" s="10">
        <v>1770</v>
      </c>
      <c r="G672" s="1" t="s">
        <v>35</v>
      </c>
      <c r="H672" s="10">
        <f t="shared" si="20"/>
        <v>23010</v>
      </c>
      <c r="I672" s="7">
        <v>19913.476951541739</v>
      </c>
      <c r="J672" s="7">
        <f t="shared" si="21"/>
        <v>3096.5230484582607</v>
      </c>
      <c r="K672" s="1">
        <f>IF(B672="North",28.6,
IF(B672="South",13,
IF(B672="East",22.6,
IF(B672="West",19,
23.5))))</f>
        <v>13</v>
      </c>
      <c r="L672" s="1">
        <f>IF(B672="North",77.2,
IF(B672="South",80.2,
IF(B672="East",88.4,
IF(B672="West",72.8,
78.9))))</f>
        <v>80.2</v>
      </c>
    </row>
    <row r="673" spans="1:12" x14ac:dyDescent="0.25">
      <c r="A673" s="5">
        <v>45438</v>
      </c>
      <c r="B673" s="1" t="s">
        <v>12</v>
      </c>
      <c r="C673" s="1" t="s">
        <v>22</v>
      </c>
      <c r="D673" s="1" t="s">
        <v>25</v>
      </c>
      <c r="E673" s="10">
        <v>17</v>
      </c>
      <c r="F673" s="10">
        <v>1241</v>
      </c>
      <c r="G673" s="1" t="s">
        <v>35</v>
      </c>
      <c r="H673" s="10">
        <f t="shared" si="20"/>
        <v>21097</v>
      </c>
      <c r="I673" s="7">
        <v>16014.02797533643</v>
      </c>
      <c r="J673" s="7">
        <f t="shared" si="21"/>
        <v>5082.9720246635698</v>
      </c>
      <c r="K673" s="1">
        <f>IF(B673="North",28.6,
IF(B673="South",13,
IF(B673="East",22.6,
IF(B673="West",19,
23.5))))</f>
        <v>22.6</v>
      </c>
      <c r="L673" s="1">
        <f>IF(B673="North",77.2,
IF(B673="South",80.2,
IF(B673="East",88.4,
IF(B673="West",72.8,
78.9))))</f>
        <v>88.4</v>
      </c>
    </row>
    <row r="674" spans="1:12" x14ac:dyDescent="0.25">
      <c r="A674" s="5">
        <v>45311</v>
      </c>
      <c r="B674" s="1" t="s">
        <v>10</v>
      </c>
      <c r="C674" s="1" t="s">
        <v>24</v>
      </c>
      <c r="D674" s="1" t="s">
        <v>26</v>
      </c>
      <c r="E674" s="10">
        <v>16</v>
      </c>
      <c r="F674" s="10">
        <v>800</v>
      </c>
      <c r="G674" s="1" t="s">
        <v>35</v>
      </c>
      <c r="H674" s="10">
        <f t="shared" si="20"/>
        <v>12800</v>
      </c>
      <c r="I674" s="7">
        <v>11322.135626708719</v>
      </c>
      <c r="J674" s="7">
        <f t="shared" si="21"/>
        <v>1477.8643732912806</v>
      </c>
      <c r="K674" s="1">
        <f>IF(B674="North",28.6,
IF(B674="South",13,
IF(B674="East",22.6,
IF(B674="West",19,
23.5))))</f>
        <v>28.6</v>
      </c>
      <c r="L674" s="1">
        <f>IF(B674="North",77.2,
IF(B674="South",80.2,
IF(B674="East",88.4,
IF(B674="West",72.8,
78.9))))</f>
        <v>77.2</v>
      </c>
    </row>
    <row r="675" spans="1:12" x14ac:dyDescent="0.25">
      <c r="A675" s="5">
        <v>45338</v>
      </c>
      <c r="B675" s="1" t="s">
        <v>10</v>
      </c>
      <c r="C675" s="1" t="s">
        <v>19</v>
      </c>
      <c r="D675" s="1" t="s">
        <v>28</v>
      </c>
      <c r="E675" s="10">
        <v>2</v>
      </c>
      <c r="F675" s="10">
        <v>1766</v>
      </c>
      <c r="G675" s="1" t="s">
        <v>35</v>
      </c>
      <c r="H675" s="10">
        <f t="shared" si="20"/>
        <v>3532</v>
      </c>
      <c r="I675" s="7">
        <v>2426.866423211563</v>
      </c>
      <c r="J675" s="7">
        <f t="shared" si="21"/>
        <v>1105.133576788437</v>
      </c>
      <c r="K675" s="1">
        <f>IF(B675="North",28.6,
IF(B675="South",13,
IF(B675="East",22.6,
IF(B675="West",19,
23.5))))</f>
        <v>28.6</v>
      </c>
      <c r="L675" s="1">
        <f>IF(B675="North",77.2,
IF(B675="South",80.2,
IF(B675="East",88.4,
IF(B675="West",72.8,
78.9))))</f>
        <v>77.2</v>
      </c>
    </row>
    <row r="676" spans="1:12" x14ac:dyDescent="0.25">
      <c r="A676" s="5">
        <v>45524</v>
      </c>
      <c r="B676" s="1" t="s">
        <v>13</v>
      </c>
      <c r="C676" s="1" t="s">
        <v>20</v>
      </c>
      <c r="D676" s="1" t="s">
        <v>27</v>
      </c>
      <c r="E676" s="10">
        <v>14</v>
      </c>
      <c r="F676" s="10">
        <v>1118</v>
      </c>
      <c r="G676" s="1" t="s">
        <v>33</v>
      </c>
      <c r="H676" s="10">
        <f t="shared" si="20"/>
        <v>15652</v>
      </c>
      <c r="I676" s="7">
        <v>11524.48692276017</v>
      </c>
      <c r="J676" s="7">
        <f t="shared" si="21"/>
        <v>4127.5130772398297</v>
      </c>
      <c r="K676" s="1">
        <f>IF(B676="North",28.6,
IF(B676="South",13,
IF(B676="East",22.6,
IF(B676="West",19,
23.5))))</f>
        <v>13</v>
      </c>
      <c r="L676" s="1">
        <f>IF(B676="North",77.2,
IF(B676="South",80.2,
IF(B676="East",88.4,
IF(B676="West",72.8,
78.9))))</f>
        <v>80.2</v>
      </c>
    </row>
    <row r="677" spans="1:12" x14ac:dyDescent="0.25">
      <c r="A677" s="5">
        <v>45596</v>
      </c>
      <c r="B677" s="1" t="s">
        <v>10</v>
      </c>
      <c r="C677" s="1" t="s">
        <v>23</v>
      </c>
      <c r="D677" s="1" t="s">
        <v>28</v>
      </c>
      <c r="E677" s="10">
        <v>3</v>
      </c>
      <c r="F677" s="10">
        <v>1335</v>
      </c>
      <c r="G677" s="1" t="s">
        <v>34</v>
      </c>
      <c r="H677" s="10">
        <f t="shared" si="20"/>
        <v>4005</v>
      </c>
      <c r="I677" s="7">
        <v>3237.137725238988</v>
      </c>
      <c r="J677" s="7">
        <f t="shared" si="21"/>
        <v>767.86227476101203</v>
      </c>
      <c r="K677" s="1">
        <f>IF(B677="North",28.6,
IF(B677="South",13,
IF(B677="East",22.6,
IF(B677="West",19,
23.5))))</f>
        <v>28.6</v>
      </c>
      <c r="L677" s="1">
        <f>IF(B677="North",77.2,
IF(B677="South",80.2,
IF(B677="East",88.4,
IF(B677="West",72.8,
78.9))))</f>
        <v>77.2</v>
      </c>
    </row>
    <row r="678" spans="1:12" x14ac:dyDescent="0.25">
      <c r="A678" s="5">
        <v>45305</v>
      </c>
      <c r="B678" s="1" t="s">
        <v>13</v>
      </c>
      <c r="C678" s="1" t="s">
        <v>19</v>
      </c>
      <c r="D678" s="1" t="s">
        <v>25</v>
      </c>
      <c r="E678" s="10">
        <v>12</v>
      </c>
      <c r="F678" s="10">
        <v>1541</v>
      </c>
      <c r="G678" s="1" t="s">
        <v>35</v>
      </c>
      <c r="H678" s="10">
        <f t="shared" si="20"/>
        <v>18492</v>
      </c>
      <c r="I678" s="7">
        <v>15710.322292818661</v>
      </c>
      <c r="J678" s="7">
        <f t="shared" si="21"/>
        <v>2781.6777071813394</v>
      </c>
      <c r="K678" s="1">
        <f>IF(B678="North",28.6,
IF(B678="South",13,
IF(B678="East",22.6,
IF(B678="West",19,
23.5))))</f>
        <v>13</v>
      </c>
      <c r="L678" s="1">
        <f>IF(B678="North",77.2,
IF(B678="South",80.2,
IF(B678="East",88.4,
IF(B678="West",72.8,
78.9))))</f>
        <v>80.2</v>
      </c>
    </row>
    <row r="679" spans="1:12" x14ac:dyDescent="0.25">
      <c r="A679" s="5">
        <v>45434</v>
      </c>
      <c r="B679" s="1" t="s">
        <v>12</v>
      </c>
      <c r="C679" s="1" t="s">
        <v>22</v>
      </c>
      <c r="D679" s="1" t="s">
        <v>30</v>
      </c>
      <c r="E679" s="10">
        <v>8</v>
      </c>
      <c r="F679" s="10">
        <v>1236</v>
      </c>
      <c r="G679" s="1" t="s">
        <v>35</v>
      </c>
      <c r="H679" s="10">
        <f t="shared" si="20"/>
        <v>9888</v>
      </c>
      <c r="I679" s="7">
        <v>7182.7136650885677</v>
      </c>
      <c r="J679" s="7">
        <f t="shared" si="21"/>
        <v>2705.2863349114323</v>
      </c>
      <c r="K679" s="1">
        <f>IF(B679="North",28.6,
IF(B679="South",13,
IF(B679="East",22.6,
IF(B679="West",19,
23.5))))</f>
        <v>22.6</v>
      </c>
      <c r="L679" s="1">
        <f>IF(B679="North",77.2,
IF(B679="South",80.2,
IF(B679="East",88.4,
IF(B679="West",72.8,
78.9))))</f>
        <v>88.4</v>
      </c>
    </row>
    <row r="680" spans="1:12" x14ac:dyDescent="0.25">
      <c r="A680" s="5">
        <v>45292</v>
      </c>
      <c r="B680" s="1" t="s">
        <v>13</v>
      </c>
      <c r="C680" s="1" t="s">
        <v>19</v>
      </c>
      <c r="D680" s="1" t="s">
        <v>29</v>
      </c>
      <c r="E680" s="10">
        <v>2</v>
      </c>
      <c r="F680" s="10">
        <v>1167</v>
      </c>
      <c r="G680" s="1" t="s">
        <v>35</v>
      </c>
      <c r="H680" s="10">
        <f t="shared" si="20"/>
        <v>2334</v>
      </c>
      <c r="I680" s="7">
        <v>2025.28126333668</v>
      </c>
      <c r="J680" s="7">
        <f t="shared" si="21"/>
        <v>308.71873666331999</v>
      </c>
      <c r="K680" s="1">
        <f>IF(B680="North",28.6,
IF(B680="South",13,
IF(B680="East",22.6,
IF(B680="West",19,
23.5))))</f>
        <v>13</v>
      </c>
      <c r="L680" s="1">
        <f>IF(B680="North",77.2,
IF(B680="South",80.2,
IF(B680="East",88.4,
IF(B680="West",72.8,
78.9))))</f>
        <v>80.2</v>
      </c>
    </row>
    <row r="681" spans="1:12" x14ac:dyDescent="0.25">
      <c r="A681" s="5">
        <v>45345</v>
      </c>
      <c r="B681" s="1" t="s">
        <v>13</v>
      </c>
      <c r="C681" s="1" t="s">
        <v>22</v>
      </c>
      <c r="D681" s="1" t="s">
        <v>28</v>
      </c>
      <c r="E681" s="10">
        <v>4</v>
      </c>
      <c r="F681" s="10">
        <v>1073.5</v>
      </c>
      <c r="G681" s="1" t="s">
        <v>35</v>
      </c>
      <c r="H681" s="10">
        <f t="shared" si="20"/>
        <v>4294</v>
      </c>
      <c r="I681" s="7">
        <f>H681*0.7</f>
        <v>3005.7999999999997</v>
      </c>
      <c r="J681" s="7">
        <f t="shared" si="21"/>
        <v>1288.2000000000003</v>
      </c>
      <c r="K681" s="1">
        <f>IF(B681="North",28.6,
IF(B681="South",13,
IF(B681="East",22.6,
IF(B681="West",19,
23.5))))</f>
        <v>13</v>
      </c>
      <c r="L681" s="1">
        <f>IF(B681="North",77.2,
IF(B681="South",80.2,
IF(B681="East",88.4,
IF(B681="West",72.8,
78.9))))</f>
        <v>80.2</v>
      </c>
    </row>
    <row r="682" spans="1:12" x14ac:dyDescent="0.25">
      <c r="A682" s="5">
        <v>45550</v>
      </c>
      <c r="B682" s="1" t="s">
        <v>12</v>
      </c>
      <c r="C682" s="1" t="s">
        <v>19</v>
      </c>
      <c r="D682" s="1" t="s">
        <v>31</v>
      </c>
      <c r="E682" s="10">
        <v>14</v>
      </c>
      <c r="F682" s="10">
        <v>975</v>
      </c>
      <c r="G682" s="1" t="s">
        <v>35</v>
      </c>
      <c r="H682" s="10">
        <f t="shared" si="20"/>
        <v>13650</v>
      </c>
      <c r="I682" s="7">
        <v>11092.063923527339</v>
      </c>
      <c r="J682" s="7">
        <f t="shared" si="21"/>
        <v>2557.9360764726607</v>
      </c>
      <c r="K682" s="1">
        <f>IF(B682="North",28.6,
IF(B682="South",13,
IF(B682="East",22.6,
IF(B682="West",19,
23.5))))</f>
        <v>22.6</v>
      </c>
      <c r="L682" s="1">
        <f>IF(B682="North",77.2,
IF(B682="South",80.2,
IF(B682="East",88.4,
IF(B682="West",72.8,
78.9))))</f>
        <v>88.4</v>
      </c>
    </row>
    <row r="683" spans="1:12" x14ac:dyDescent="0.25">
      <c r="A683" s="5">
        <v>45435</v>
      </c>
      <c r="B683" s="1" t="s">
        <v>10</v>
      </c>
      <c r="C683" s="1" t="s">
        <v>24</v>
      </c>
      <c r="D683" s="1" t="s">
        <v>36</v>
      </c>
      <c r="E683" s="10">
        <v>16</v>
      </c>
      <c r="F683" s="10">
        <v>1073.5</v>
      </c>
      <c r="G683" s="1" t="s">
        <v>35</v>
      </c>
      <c r="H683" s="10">
        <f t="shared" si="20"/>
        <v>17176</v>
      </c>
      <c r="I683" s="7">
        <f>H683*0.7</f>
        <v>12023.199999999999</v>
      </c>
      <c r="J683" s="7">
        <f t="shared" si="21"/>
        <v>5152.8000000000011</v>
      </c>
      <c r="K683" s="1">
        <f>IF(B683="North",28.6,
IF(B683="South",13,
IF(B683="East",22.6,
IF(B683="West",19,
23.5))))</f>
        <v>28.6</v>
      </c>
      <c r="L683" s="1">
        <f>IF(B683="North",77.2,
IF(B683="South",80.2,
IF(B683="East",88.4,
IF(B683="West",72.8,
78.9))))</f>
        <v>77.2</v>
      </c>
    </row>
    <row r="684" spans="1:12" x14ac:dyDescent="0.25">
      <c r="A684" s="5">
        <v>45303</v>
      </c>
      <c r="B684" s="1" t="s">
        <v>13</v>
      </c>
      <c r="C684" s="1" t="s">
        <v>17</v>
      </c>
      <c r="D684" s="1" t="s">
        <v>26</v>
      </c>
      <c r="E684" s="10">
        <v>19</v>
      </c>
      <c r="F684" s="10">
        <v>1908</v>
      </c>
      <c r="G684" s="1" t="s">
        <v>33</v>
      </c>
      <c r="H684" s="10">
        <f t="shared" si="20"/>
        <v>36252</v>
      </c>
      <c r="I684" s="7">
        <v>22853.284191232469</v>
      </c>
      <c r="J684" s="7">
        <f t="shared" si="21"/>
        <v>13398.715808767531</v>
      </c>
      <c r="K684" s="1">
        <f>IF(B684="North",28.6,
IF(B684="South",13,
IF(B684="East",22.6,
IF(B684="West",19,
23.5))))</f>
        <v>13</v>
      </c>
      <c r="L684" s="1">
        <f>IF(B684="North",77.2,
IF(B684="South",80.2,
IF(B684="East",88.4,
IF(B684="West",72.8,
78.9))))</f>
        <v>80.2</v>
      </c>
    </row>
    <row r="685" spans="1:12" x14ac:dyDescent="0.25">
      <c r="A685" s="5">
        <v>45621</v>
      </c>
      <c r="B685" s="1" t="s">
        <v>13</v>
      </c>
      <c r="C685" s="1" t="s">
        <v>24</v>
      </c>
      <c r="D685" s="1" t="s">
        <v>36</v>
      </c>
      <c r="E685" s="10">
        <v>2</v>
      </c>
      <c r="F685" s="10">
        <v>926</v>
      </c>
      <c r="G685" s="1" t="s">
        <v>35</v>
      </c>
      <c r="H685" s="10">
        <f t="shared" si="20"/>
        <v>1852</v>
      </c>
      <c r="I685" s="7">
        <v>1326.030827759193</v>
      </c>
      <c r="J685" s="7">
        <f t="shared" si="21"/>
        <v>525.96917224080698</v>
      </c>
      <c r="K685" s="1">
        <f>IF(B685="North",28.6,
IF(B685="South",13,
IF(B685="East",22.6,
IF(B685="West",19,
23.5))))</f>
        <v>13</v>
      </c>
      <c r="L685" s="1">
        <f>IF(B685="North",77.2,
IF(B685="South",80.2,
IF(B685="East",88.4,
IF(B685="West",72.8,
78.9))))</f>
        <v>80.2</v>
      </c>
    </row>
    <row r="686" spans="1:12" x14ac:dyDescent="0.25">
      <c r="A686" s="5">
        <v>45515</v>
      </c>
      <c r="B686" s="1" t="s">
        <v>12</v>
      </c>
      <c r="C686" s="1" t="s">
        <v>24</v>
      </c>
      <c r="D686" s="1" t="s">
        <v>27</v>
      </c>
      <c r="E686" s="10">
        <v>12</v>
      </c>
      <c r="F686" s="10">
        <v>1517</v>
      </c>
      <c r="G686" s="1" t="s">
        <v>35</v>
      </c>
      <c r="H686" s="10">
        <f t="shared" si="20"/>
        <v>18204</v>
      </c>
      <c r="I686" s="7">
        <v>15729.43356844058</v>
      </c>
      <c r="J686" s="7">
        <f t="shared" si="21"/>
        <v>2474.5664315594204</v>
      </c>
      <c r="K686" s="1">
        <f>IF(B686="North",28.6,
IF(B686="South",13,
IF(B686="East",22.6,
IF(B686="West",19,
23.5))))</f>
        <v>22.6</v>
      </c>
      <c r="L686" s="1">
        <f>IF(B686="North",77.2,
IF(B686="South",80.2,
IF(B686="East",88.4,
IF(B686="West",72.8,
78.9))))</f>
        <v>88.4</v>
      </c>
    </row>
    <row r="687" spans="1:12" x14ac:dyDescent="0.25">
      <c r="A687" s="5">
        <v>45563</v>
      </c>
      <c r="B687" s="1" t="s">
        <v>10</v>
      </c>
      <c r="C687" s="1" t="s">
        <v>17</v>
      </c>
      <c r="D687" s="1" t="s">
        <v>29</v>
      </c>
      <c r="E687" s="10">
        <v>14</v>
      </c>
      <c r="F687" s="10">
        <v>1990</v>
      </c>
      <c r="G687" s="1" t="s">
        <v>33</v>
      </c>
      <c r="H687" s="10">
        <f t="shared" si="20"/>
        <v>27860</v>
      </c>
      <c r="I687" s="7">
        <v>24911.302096230451</v>
      </c>
      <c r="J687" s="7">
        <f t="shared" si="21"/>
        <v>2948.6979037695492</v>
      </c>
      <c r="K687" s="1">
        <f>IF(B687="North",28.6,
IF(B687="South",13,
IF(B687="East",22.6,
IF(B687="West",19,
23.5))))</f>
        <v>28.6</v>
      </c>
      <c r="L687" s="1">
        <f>IF(B687="North",77.2,
IF(B687="South",80.2,
IF(B687="East",88.4,
IF(B687="West",72.8,
78.9))))</f>
        <v>77.2</v>
      </c>
    </row>
    <row r="688" spans="1:12" x14ac:dyDescent="0.25">
      <c r="A688" s="5">
        <v>45649</v>
      </c>
      <c r="B688" s="1" t="s">
        <v>13</v>
      </c>
      <c r="C688" s="1" t="s">
        <v>17</v>
      </c>
      <c r="D688" s="1" t="s">
        <v>27</v>
      </c>
      <c r="E688" s="10">
        <v>6</v>
      </c>
      <c r="F688" s="10">
        <v>951</v>
      </c>
      <c r="G688" s="1" t="s">
        <v>33</v>
      </c>
      <c r="H688" s="10">
        <f t="shared" si="20"/>
        <v>5706</v>
      </c>
      <c r="I688" s="7">
        <v>4095.9947953846058</v>
      </c>
      <c r="J688" s="7">
        <f t="shared" si="21"/>
        <v>1610.0052046153942</v>
      </c>
      <c r="K688" s="1">
        <f>IF(B688="North",28.6,
IF(B688="South",13,
IF(B688="East",22.6,
IF(B688="West",19,
23.5))))</f>
        <v>13</v>
      </c>
      <c r="L688" s="1">
        <f>IF(B688="North",77.2,
IF(B688="South",80.2,
IF(B688="East",88.4,
IF(B688="West",72.8,
78.9))))</f>
        <v>80.2</v>
      </c>
    </row>
    <row r="689" spans="1:12" x14ac:dyDescent="0.25">
      <c r="A689" s="5">
        <v>45447</v>
      </c>
      <c r="B689" s="1" t="s">
        <v>12</v>
      </c>
      <c r="C689" s="1" t="s">
        <v>18</v>
      </c>
      <c r="D689" s="1" t="s">
        <v>29</v>
      </c>
      <c r="E689" s="10">
        <v>13</v>
      </c>
      <c r="F689" s="10">
        <v>611</v>
      </c>
      <c r="G689" s="1" t="s">
        <v>34</v>
      </c>
      <c r="H689" s="10">
        <f t="shared" si="20"/>
        <v>7943</v>
      </c>
      <c r="I689" s="7">
        <v>6878.0416105038112</v>
      </c>
      <c r="J689" s="7">
        <f t="shared" si="21"/>
        <v>1064.9583894961888</v>
      </c>
      <c r="K689" s="1">
        <f>IF(B689="North",28.6,
IF(B689="South",13,
IF(B689="East",22.6,
IF(B689="West",19,
23.5))))</f>
        <v>22.6</v>
      </c>
      <c r="L689" s="1">
        <f>IF(B689="North",77.2,
IF(B689="South",80.2,
IF(B689="East",88.4,
IF(B689="West",72.8,
78.9))))</f>
        <v>88.4</v>
      </c>
    </row>
    <row r="690" spans="1:12" x14ac:dyDescent="0.25">
      <c r="A690" s="5">
        <v>45299</v>
      </c>
      <c r="B690" s="1" t="s">
        <v>13</v>
      </c>
      <c r="C690" s="1" t="s">
        <v>18</v>
      </c>
      <c r="D690" s="1" t="s">
        <v>29</v>
      </c>
      <c r="E690" s="10">
        <v>4</v>
      </c>
      <c r="F690" s="10">
        <v>144</v>
      </c>
      <c r="G690" s="1" t="s">
        <v>34</v>
      </c>
      <c r="H690" s="10">
        <f t="shared" si="20"/>
        <v>576</v>
      </c>
      <c r="I690" s="7">
        <v>433.66828312659658</v>
      </c>
      <c r="J690" s="7">
        <f t="shared" si="21"/>
        <v>142.33171687340342</v>
      </c>
      <c r="K690" s="1">
        <f>IF(B690="North",28.6,
IF(B690="South",13,
IF(B690="East",22.6,
IF(B690="West",19,
23.5))))</f>
        <v>13</v>
      </c>
      <c r="L690" s="1">
        <f>IF(B690="North",77.2,
IF(B690="South",80.2,
IF(B690="East",88.4,
IF(B690="West",72.8,
78.9))))</f>
        <v>80.2</v>
      </c>
    </row>
    <row r="691" spans="1:12" x14ac:dyDescent="0.25">
      <c r="A691" s="5">
        <v>45413</v>
      </c>
      <c r="B691" s="1" t="s">
        <v>11</v>
      </c>
      <c r="C691" s="1" t="s">
        <v>20</v>
      </c>
      <c r="D691" s="1" t="s">
        <v>27</v>
      </c>
      <c r="E691" s="10">
        <v>18</v>
      </c>
      <c r="F691" s="10">
        <v>1231</v>
      </c>
      <c r="G691" s="1" t="s">
        <v>33</v>
      </c>
      <c r="H691" s="10">
        <f t="shared" si="20"/>
        <v>22158</v>
      </c>
      <c r="I691" s="7">
        <v>18061.085761367289</v>
      </c>
      <c r="J691" s="7">
        <f t="shared" si="21"/>
        <v>4096.9142386327112</v>
      </c>
      <c r="K691" s="1">
        <f>IF(B691="North",28.6,
IF(B691="South",13,
IF(B691="East",22.6,
IF(B691="West",19,
23.5))))</f>
        <v>19</v>
      </c>
      <c r="L691" s="1">
        <f>IF(B691="North",77.2,
IF(B691="South",80.2,
IF(B691="East",88.4,
IF(B691="West",72.8,
78.9))))</f>
        <v>72.8</v>
      </c>
    </row>
    <row r="692" spans="1:12" x14ac:dyDescent="0.25">
      <c r="A692" s="5">
        <v>45639</v>
      </c>
      <c r="B692" s="1" t="s">
        <v>12</v>
      </c>
      <c r="C692" s="1" t="s">
        <v>23</v>
      </c>
      <c r="D692" s="1" t="s">
        <v>31</v>
      </c>
      <c r="E692" s="10">
        <v>12</v>
      </c>
      <c r="F692" s="10">
        <v>318</v>
      </c>
      <c r="G692" s="1" t="s">
        <v>34</v>
      </c>
      <c r="H692" s="10">
        <f t="shared" si="20"/>
        <v>3816</v>
      </c>
      <c r="I692" s="7">
        <v>2341.5412042190728</v>
      </c>
      <c r="J692" s="7">
        <f t="shared" si="21"/>
        <v>1474.4587957809272</v>
      </c>
      <c r="K692" s="1">
        <f>IF(B692="North",28.6,
IF(B692="South",13,
IF(B692="East",22.6,
IF(B692="West",19,
23.5))))</f>
        <v>22.6</v>
      </c>
      <c r="L692" s="1">
        <f>IF(B692="North",77.2,
IF(B692="South",80.2,
IF(B692="East",88.4,
IF(B692="West",72.8,
78.9))))</f>
        <v>88.4</v>
      </c>
    </row>
    <row r="693" spans="1:12" x14ac:dyDescent="0.25">
      <c r="A693" s="5">
        <v>45455</v>
      </c>
      <c r="B693" s="1" t="s">
        <v>10</v>
      </c>
      <c r="C693" s="1" t="s">
        <v>23</v>
      </c>
      <c r="D693" s="1" t="s">
        <v>31</v>
      </c>
      <c r="E693" s="10">
        <v>19</v>
      </c>
      <c r="F693" s="10">
        <v>542</v>
      </c>
      <c r="G693" s="1" t="s">
        <v>34</v>
      </c>
      <c r="H693" s="10">
        <f t="shared" si="20"/>
        <v>10298</v>
      </c>
      <c r="I693" s="7">
        <v>7900.5596062474424</v>
      </c>
      <c r="J693" s="7">
        <f t="shared" si="21"/>
        <v>2397.4403937525576</v>
      </c>
      <c r="K693" s="1">
        <f>IF(B693="North",28.6,
IF(B693="South",13,
IF(B693="East",22.6,
IF(B693="West",19,
23.5))))</f>
        <v>28.6</v>
      </c>
      <c r="L693" s="1">
        <f>IF(B693="North",77.2,
IF(B693="South",80.2,
IF(B693="East",88.4,
IF(B693="West",72.8,
78.9))))</f>
        <v>77.2</v>
      </c>
    </row>
    <row r="694" spans="1:12" x14ac:dyDescent="0.25">
      <c r="A694" s="5">
        <v>45381</v>
      </c>
      <c r="B694" s="1" t="s">
        <v>10</v>
      </c>
      <c r="C694" s="1" t="s">
        <v>20</v>
      </c>
      <c r="D694" s="1" t="s">
        <v>29</v>
      </c>
      <c r="E694" s="10">
        <v>8</v>
      </c>
      <c r="F694" s="10">
        <v>1953</v>
      </c>
      <c r="G694" s="1" t="s">
        <v>33</v>
      </c>
      <c r="H694" s="10">
        <f t="shared" si="20"/>
        <v>15624</v>
      </c>
      <c r="I694" s="7">
        <v>9703.263027408153</v>
      </c>
      <c r="J694" s="7">
        <f t="shared" si="21"/>
        <v>5920.736972591847</v>
      </c>
      <c r="K694" s="1">
        <f>IF(B694="North",28.6,
IF(B694="South",13,
IF(B694="East",22.6,
IF(B694="West",19,
23.5))))</f>
        <v>28.6</v>
      </c>
      <c r="L694" s="1">
        <f>IF(B694="North",77.2,
IF(B694="South",80.2,
IF(B694="East",88.4,
IF(B694="West",72.8,
78.9))))</f>
        <v>77.2</v>
      </c>
    </row>
    <row r="695" spans="1:12" x14ac:dyDescent="0.25">
      <c r="A695" s="5">
        <v>45427</v>
      </c>
      <c r="B695" s="1" t="s">
        <v>10</v>
      </c>
      <c r="C695" s="1" t="s">
        <v>24</v>
      </c>
      <c r="D695" s="1" t="s">
        <v>31</v>
      </c>
      <c r="E695" s="10">
        <v>7</v>
      </c>
      <c r="F695" s="10">
        <v>414</v>
      </c>
      <c r="G695" s="1" t="s">
        <v>35</v>
      </c>
      <c r="H695" s="10">
        <f t="shared" si="20"/>
        <v>2898</v>
      </c>
      <c r="I695" s="7">
        <v>1972.336451897349</v>
      </c>
      <c r="J695" s="7">
        <f t="shared" si="21"/>
        <v>925.66354810265102</v>
      </c>
      <c r="K695" s="1">
        <f>IF(B695="North",28.6,
IF(B695="South",13,
IF(B695="East",22.6,
IF(B695="West",19,
23.5))))</f>
        <v>28.6</v>
      </c>
      <c r="L695" s="1">
        <f>IF(B695="North",77.2,
IF(B695="South",80.2,
IF(B695="East",88.4,
IF(B695="West",72.8,
78.9))))</f>
        <v>77.2</v>
      </c>
    </row>
    <row r="696" spans="1:12" x14ac:dyDescent="0.25">
      <c r="A696" s="5">
        <v>45477</v>
      </c>
      <c r="B696" s="1" t="s">
        <v>10</v>
      </c>
      <c r="C696" s="1" t="s">
        <v>24</v>
      </c>
      <c r="D696" s="1" t="s">
        <v>29</v>
      </c>
      <c r="E696" s="10">
        <v>16</v>
      </c>
      <c r="F696" s="10">
        <v>276</v>
      </c>
      <c r="G696" s="1" t="s">
        <v>35</v>
      </c>
      <c r="H696" s="10">
        <f t="shared" si="20"/>
        <v>4416</v>
      </c>
      <c r="I696" s="7">
        <v>3400.5156189108252</v>
      </c>
      <c r="J696" s="7">
        <f t="shared" si="21"/>
        <v>1015.4843810891748</v>
      </c>
      <c r="K696" s="1">
        <f>IF(B696="North",28.6,
IF(B696="South",13,
IF(B696="East",22.6,
IF(B696="West",19,
23.5))))</f>
        <v>28.6</v>
      </c>
      <c r="L696" s="1">
        <f>IF(B696="North",77.2,
IF(B696="South",80.2,
IF(B696="East",88.4,
IF(B696="West",72.8,
78.9))))</f>
        <v>77.2</v>
      </c>
    </row>
    <row r="697" spans="1:12" x14ac:dyDescent="0.25">
      <c r="A697" s="5">
        <v>45607</v>
      </c>
      <c r="B697" s="1" t="s">
        <v>13</v>
      </c>
      <c r="C697" s="1" t="s">
        <v>22</v>
      </c>
      <c r="D697" s="1" t="s">
        <v>25</v>
      </c>
      <c r="E697" s="10">
        <v>19</v>
      </c>
      <c r="F697" s="10">
        <v>327</v>
      </c>
      <c r="G697" s="1" t="s">
        <v>35</v>
      </c>
      <c r="H697" s="10">
        <f t="shared" si="20"/>
        <v>6213</v>
      </c>
      <c r="I697" s="7">
        <v>5232.2725442333704</v>
      </c>
      <c r="J697" s="7">
        <f t="shared" si="21"/>
        <v>980.72745576662965</v>
      </c>
      <c r="K697" s="1">
        <f>IF(B697="North",28.6,
IF(B697="South",13,
IF(B697="East",22.6,
IF(B697="West",19,
23.5))))</f>
        <v>13</v>
      </c>
      <c r="L697" s="1">
        <f>IF(B697="North",77.2,
IF(B697="South",80.2,
IF(B697="East",88.4,
IF(B697="West",72.8,
78.9))))</f>
        <v>80.2</v>
      </c>
    </row>
    <row r="698" spans="1:12" x14ac:dyDescent="0.25">
      <c r="A698" s="5">
        <v>45469</v>
      </c>
      <c r="B698" s="1" t="s">
        <v>13</v>
      </c>
      <c r="C698" s="1" t="s">
        <v>22</v>
      </c>
      <c r="D698" s="1" t="s">
        <v>29</v>
      </c>
      <c r="E698" s="10">
        <v>6</v>
      </c>
      <c r="F698" s="10">
        <v>1826</v>
      </c>
      <c r="G698" s="1" t="s">
        <v>35</v>
      </c>
      <c r="H698" s="10">
        <f t="shared" si="20"/>
        <v>10956</v>
      </c>
      <c r="I698" s="7">
        <v>8417.145228454694</v>
      </c>
      <c r="J698" s="7">
        <f t="shared" si="21"/>
        <v>2538.854771545306</v>
      </c>
      <c r="K698" s="1">
        <f>IF(B698="North",28.6,
IF(B698="South",13,
IF(B698="East",22.6,
IF(B698="West",19,
23.5))))</f>
        <v>13</v>
      </c>
      <c r="L698" s="1">
        <f>IF(B698="North",77.2,
IF(B698="South",80.2,
IF(B698="East",88.4,
IF(B698="West",72.8,
78.9))))</f>
        <v>80.2</v>
      </c>
    </row>
    <row r="699" spans="1:12" x14ac:dyDescent="0.25">
      <c r="A699" s="5">
        <v>45319</v>
      </c>
      <c r="B699" s="1" t="s">
        <v>10</v>
      </c>
      <c r="C699" s="1" t="s">
        <v>23</v>
      </c>
      <c r="D699" s="1" t="s">
        <v>25</v>
      </c>
      <c r="E699" s="10">
        <v>-5</v>
      </c>
      <c r="F699" s="10">
        <v>1795</v>
      </c>
      <c r="G699" s="1" t="s">
        <v>34</v>
      </c>
      <c r="H699" s="10">
        <f t="shared" si="20"/>
        <v>-8975</v>
      </c>
      <c r="I699" s="7">
        <v>-7905.6957244527039</v>
      </c>
      <c r="J699" s="7">
        <f t="shared" si="21"/>
        <v>-1069.3042755472961</v>
      </c>
      <c r="K699" s="1">
        <f>IF(B699="North",28.6,
IF(B699="South",13,
IF(B699="East",22.6,
IF(B699="West",19,
23.5))))</f>
        <v>28.6</v>
      </c>
      <c r="L699" s="1">
        <f>IF(B699="North",77.2,
IF(B699="South",80.2,
IF(B699="East",88.4,
IF(B699="West",72.8,
78.9))))</f>
        <v>77.2</v>
      </c>
    </row>
    <row r="700" spans="1:12" x14ac:dyDescent="0.25">
      <c r="A700" s="5">
        <v>45511</v>
      </c>
      <c r="B700" s="1" t="s">
        <v>10</v>
      </c>
      <c r="C700" s="1" t="s">
        <v>20</v>
      </c>
      <c r="D700" s="1" t="s">
        <v>36</v>
      </c>
      <c r="E700" s="10">
        <v>5</v>
      </c>
      <c r="F700" s="10">
        <v>366</v>
      </c>
      <c r="G700" s="1" t="s">
        <v>33</v>
      </c>
      <c r="H700" s="10">
        <f t="shared" si="20"/>
        <v>1830</v>
      </c>
      <c r="I700" s="7">
        <v>1542.8725466591341</v>
      </c>
      <c r="J700" s="7">
        <f t="shared" si="21"/>
        <v>287.12745334086594</v>
      </c>
      <c r="K700" s="1">
        <f>IF(B700="North",28.6,
IF(B700="South",13,
IF(B700="East",22.6,
IF(B700="West",19,
23.5))))</f>
        <v>28.6</v>
      </c>
      <c r="L700" s="1">
        <f>IF(B700="North",77.2,
IF(B700="South",80.2,
IF(B700="East",88.4,
IF(B700="West",72.8,
78.9))))</f>
        <v>77.2</v>
      </c>
    </row>
    <row r="701" spans="1:12" x14ac:dyDescent="0.25">
      <c r="A701" s="5">
        <v>45648</v>
      </c>
      <c r="B701" s="1" t="s">
        <v>10</v>
      </c>
      <c r="C701" s="1" t="s">
        <v>21</v>
      </c>
      <c r="D701" s="1" t="s">
        <v>32</v>
      </c>
      <c r="E701" s="10">
        <v>16</v>
      </c>
      <c r="F701" s="10">
        <v>969</v>
      </c>
      <c r="G701" s="1" t="s">
        <v>35</v>
      </c>
      <c r="H701" s="10">
        <f t="shared" si="20"/>
        <v>15504</v>
      </c>
      <c r="I701" s="7">
        <v>10029.10416756405</v>
      </c>
      <c r="J701" s="7">
        <f t="shared" si="21"/>
        <v>5474.8958324359501</v>
      </c>
      <c r="K701" s="1">
        <f>IF(B701="North",28.6,
IF(B701="South",13,
IF(B701="East",22.6,
IF(B701="West",19,
23.5))))</f>
        <v>28.6</v>
      </c>
      <c r="L701" s="1">
        <f>IF(B701="North",77.2,
IF(B701="South",80.2,
IF(B701="East",88.4,
IF(B701="West",72.8,
78.9))))</f>
        <v>77.2</v>
      </c>
    </row>
    <row r="702" spans="1:12" x14ac:dyDescent="0.25">
      <c r="A702" s="5">
        <v>45332</v>
      </c>
      <c r="B702" s="1" t="s">
        <v>13</v>
      </c>
      <c r="C702" s="1" t="s">
        <v>18</v>
      </c>
      <c r="D702" s="1" t="s">
        <v>30</v>
      </c>
      <c r="E702" s="10">
        <v>7</v>
      </c>
      <c r="F702" s="10">
        <v>1073.5</v>
      </c>
      <c r="G702" s="1" t="s">
        <v>34</v>
      </c>
      <c r="H702" s="10">
        <f t="shared" si="20"/>
        <v>7514.5</v>
      </c>
      <c r="I702" s="7">
        <f>H702*0.7</f>
        <v>5260.15</v>
      </c>
      <c r="J702" s="7">
        <f t="shared" si="21"/>
        <v>2254.3500000000004</v>
      </c>
      <c r="K702" s="1">
        <f>IF(B702="North",28.6,
IF(B702="South",13,
IF(B702="East",22.6,
IF(B702="West",19,
23.5))))</f>
        <v>13</v>
      </c>
      <c r="L702" s="1">
        <f>IF(B702="North",77.2,
IF(B702="South",80.2,
IF(B702="East",88.4,
IF(B702="West",72.8,
78.9))))</f>
        <v>80.2</v>
      </c>
    </row>
    <row r="703" spans="1:12" x14ac:dyDescent="0.25">
      <c r="A703" s="5">
        <v>45519</v>
      </c>
      <c r="B703" s="1" t="s">
        <v>10</v>
      </c>
      <c r="C703" s="1" t="s">
        <v>21</v>
      </c>
      <c r="D703" s="1" t="s">
        <v>27</v>
      </c>
      <c r="E703" s="10">
        <v>5</v>
      </c>
      <c r="F703" s="10">
        <v>1502</v>
      </c>
      <c r="G703" s="1" t="s">
        <v>35</v>
      </c>
      <c r="H703" s="10">
        <f t="shared" si="20"/>
        <v>7510</v>
      </c>
      <c r="I703" s="7">
        <v>6012.0976677221734</v>
      </c>
      <c r="J703" s="7">
        <f t="shared" si="21"/>
        <v>1497.9023322778266</v>
      </c>
      <c r="K703" s="1">
        <f>IF(B703="North",28.6,
IF(B703="South",13,
IF(B703="East",22.6,
IF(B703="West",19,
23.5))))</f>
        <v>28.6</v>
      </c>
      <c r="L703" s="1">
        <f>IF(B703="North",77.2,
IF(B703="South",80.2,
IF(B703="East",88.4,
IF(B703="West",72.8,
78.9))))</f>
        <v>77.2</v>
      </c>
    </row>
    <row r="704" spans="1:12" x14ac:dyDescent="0.25">
      <c r="A704" s="5">
        <v>45483</v>
      </c>
      <c r="B704" s="1" t="s">
        <v>10</v>
      </c>
      <c r="C704" s="1" t="s">
        <v>20</v>
      </c>
      <c r="D704" s="1" t="s">
        <v>32</v>
      </c>
      <c r="E704" s="10">
        <v>11</v>
      </c>
      <c r="F704" s="10">
        <v>588</v>
      </c>
      <c r="G704" s="1" t="s">
        <v>33</v>
      </c>
      <c r="H704" s="10">
        <f t="shared" si="20"/>
        <v>6468</v>
      </c>
      <c r="I704" s="7">
        <v>5701.6830637346666</v>
      </c>
      <c r="J704" s="7">
        <f t="shared" si="21"/>
        <v>766.31693626533342</v>
      </c>
      <c r="K704" s="1">
        <f>IF(B704="North",28.6,
IF(B704="South",13,
IF(B704="East",22.6,
IF(B704="West",19,
23.5))))</f>
        <v>28.6</v>
      </c>
      <c r="L704" s="1">
        <f>IF(B704="North",77.2,
IF(B704="South",80.2,
IF(B704="East",88.4,
IF(B704="West",72.8,
78.9))))</f>
        <v>77.2</v>
      </c>
    </row>
    <row r="705" spans="1:12" x14ac:dyDescent="0.25">
      <c r="A705" s="5">
        <v>45436</v>
      </c>
      <c r="B705" s="1" t="s">
        <v>11</v>
      </c>
      <c r="C705" s="1" t="s">
        <v>22</v>
      </c>
      <c r="D705" s="1" t="s">
        <v>28</v>
      </c>
      <c r="E705" s="10">
        <v>15</v>
      </c>
      <c r="F705" s="10">
        <v>801</v>
      </c>
      <c r="G705" s="1" t="s">
        <v>35</v>
      </c>
      <c r="H705" s="10">
        <f t="shared" si="20"/>
        <v>12015</v>
      </c>
      <c r="I705" s="7">
        <v>10769.221848890171</v>
      </c>
      <c r="J705" s="7">
        <f t="shared" si="21"/>
        <v>1245.7781511098292</v>
      </c>
      <c r="K705" s="1">
        <f>IF(B705="North",28.6,
IF(B705="South",13,
IF(B705="East",22.6,
IF(B705="West",19,
23.5))))</f>
        <v>19</v>
      </c>
      <c r="L705" s="1">
        <f>IF(B705="North",77.2,
IF(B705="South",80.2,
IF(B705="East",88.4,
IF(B705="West",72.8,
78.9))))</f>
        <v>72.8</v>
      </c>
    </row>
    <row r="706" spans="1:12" x14ac:dyDescent="0.25">
      <c r="A706" s="5">
        <v>45492</v>
      </c>
      <c r="B706" s="1" t="s">
        <v>11</v>
      </c>
      <c r="C706" s="1" t="s">
        <v>23</v>
      </c>
      <c r="D706" s="1" t="s">
        <v>27</v>
      </c>
      <c r="E706" s="10">
        <v>3</v>
      </c>
      <c r="F706" s="10">
        <v>786</v>
      </c>
      <c r="G706" s="1" t="s">
        <v>34</v>
      </c>
      <c r="H706" s="10">
        <f t="shared" si="20"/>
        <v>2358</v>
      </c>
      <c r="I706" s="7">
        <v>1954.6780862148901</v>
      </c>
      <c r="J706" s="7">
        <f t="shared" si="21"/>
        <v>403.32191378510993</v>
      </c>
      <c r="K706" s="1">
        <f>IF(B706="North",28.6,
IF(B706="South",13,
IF(B706="East",22.6,
IF(B706="West",19,
23.5))))</f>
        <v>19</v>
      </c>
      <c r="L706" s="1">
        <f>IF(B706="North",77.2,
IF(B706="South",80.2,
IF(B706="East",88.4,
IF(B706="West",72.8,
78.9))))</f>
        <v>72.8</v>
      </c>
    </row>
    <row r="707" spans="1:12" x14ac:dyDescent="0.25">
      <c r="A707" s="5">
        <v>45503</v>
      </c>
      <c r="B707" s="1" t="s">
        <v>10</v>
      </c>
      <c r="C707" s="1" t="s">
        <v>23</v>
      </c>
      <c r="D707" s="1" t="s">
        <v>36</v>
      </c>
      <c r="E707" s="10">
        <v>5</v>
      </c>
      <c r="F707" s="10">
        <v>1413</v>
      </c>
      <c r="G707" s="1" t="s">
        <v>34</v>
      </c>
      <c r="H707" s="10">
        <f t="shared" ref="H707:H770" si="22">E707*F707</f>
        <v>7065</v>
      </c>
      <c r="I707" s="7">
        <v>5455.1040431754618</v>
      </c>
      <c r="J707" s="7">
        <f t="shared" ref="J707:J770" si="23">H707-I707</f>
        <v>1609.8959568245382</v>
      </c>
      <c r="K707" s="1">
        <f>IF(B707="North",28.6,
IF(B707="South",13,
IF(B707="East",22.6,
IF(B707="West",19,
23.5))))</f>
        <v>28.6</v>
      </c>
      <c r="L707" s="1">
        <f>IF(B707="North",77.2,
IF(B707="South",80.2,
IF(B707="East",88.4,
IF(B707="West",72.8,
78.9))))</f>
        <v>77.2</v>
      </c>
    </row>
    <row r="708" spans="1:12" x14ac:dyDescent="0.25">
      <c r="A708" s="5">
        <v>45511</v>
      </c>
      <c r="B708" s="1" t="s">
        <v>12</v>
      </c>
      <c r="C708" s="1" t="s">
        <v>22</v>
      </c>
      <c r="D708" s="1" t="s">
        <v>30</v>
      </c>
      <c r="E708" s="10">
        <v>5</v>
      </c>
      <c r="F708" s="10">
        <v>1095</v>
      </c>
      <c r="G708" s="1" t="s">
        <v>35</v>
      </c>
      <c r="H708" s="10">
        <f t="shared" si="22"/>
        <v>5475</v>
      </c>
      <c r="I708" s="7">
        <v>4527.7314153946518</v>
      </c>
      <c r="J708" s="7">
        <f t="shared" si="23"/>
        <v>947.26858460534822</v>
      </c>
      <c r="K708" s="1">
        <f>IF(B708="North",28.6,
IF(B708="South",13,
IF(B708="East",22.6,
IF(B708="West",19,
23.5))))</f>
        <v>22.6</v>
      </c>
      <c r="L708" s="1">
        <f>IF(B708="North",77.2,
IF(B708="South",80.2,
IF(B708="East",88.4,
IF(B708="West",72.8,
78.9))))</f>
        <v>88.4</v>
      </c>
    </row>
    <row r="709" spans="1:12" x14ac:dyDescent="0.25">
      <c r="A709" s="5">
        <v>45531</v>
      </c>
      <c r="B709" s="1" t="s">
        <v>10</v>
      </c>
      <c r="C709" s="1" t="s">
        <v>21</v>
      </c>
      <c r="D709" s="1" t="s">
        <v>31</v>
      </c>
      <c r="E709" s="10">
        <v>9</v>
      </c>
      <c r="F709" s="10">
        <v>456</v>
      </c>
      <c r="G709" s="1" t="s">
        <v>35</v>
      </c>
      <c r="H709" s="10">
        <f t="shared" si="22"/>
        <v>4104</v>
      </c>
      <c r="I709" s="7">
        <v>2798.808679644012</v>
      </c>
      <c r="J709" s="7">
        <f t="shared" si="23"/>
        <v>1305.191320355988</v>
      </c>
      <c r="K709" s="1">
        <f>IF(B709="North",28.6,
IF(B709="South",13,
IF(B709="East",22.6,
IF(B709="West",19,
23.5))))</f>
        <v>28.6</v>
      </c>
      <c r="L709" s="1">
        <f>IF(B709="North",77.2,
IF(B709="South",80.2,
IF(B709="East",88.4,
IF(B709="West",72.8,
78.9))))</f>
        <v>77.2</v>
      </c>
    </row>
    <row r="710" spans="1:12" x14ac:dyDescent="0.25">
      <c r="A710" s="5">
        <v>45337</v>
      </c>
      <c r="B710" s="1" t="s">
        <v>11</v>
      </c>
      <c r="C710" s="1" t="s">
        <v>19</v>
      </c>
      <c r="D710" s="1" t="s">
        <v>30</v>
      </c>
      <c r="E710" s="10">
        <v>15</v>
      </c>
      <c r="F710" s="10">
        <v>1780</v>
      </c>
      <c r="G710" s="1" t="s">
        <v>35</v>
      </c>
      <c r="H710" s="10">
        <f t="shared" si="22"/>
        <v>26700</v>
      </c>
      <c r="I710" s="7">
        <v>18291.660248349661</v>
      </c>
      <c r="J710" s="7">
        <f t="shared" si="23"/>
        <v>8408.3397516503392</v>
      </c>
      <c r="K710" s="1">
        <f>IF(B710="North",28.6,
IF(B710="South",13,
IF(B710="East",22.6,
IF(B710="West",19,
23.5))))</f>
        <v>19</v>
      </c>
      <c r="L710" s="1">
        <f>IF(B710="North",77.2,
IF(B710="South",80.2,
IF(B710="East",88.4,
IF(B710="West",72.8,
78.9))))</f>
        <v>72.8</v>
      </c>
    </row>
    <row r="711" spans="1:12" x14ac:dyDescent="0.25">
      <c r="A711" s="5">
        <v>45326</v>
      </c>
      <c r="B711" s="1" t="s">
        <v>12</v>
      </c>
      <c r="C711" s="1" t="s">
        <v>19</v>
      </c>
      <c r="D711" s="1" t="s">
        <v>31</v>
      </c>
      <c r="E711" s="10">
        <v>3</v>
      </c>
      <c r="F711" s="10">
        <v>1867</v>
      </c>
      <c r="G711" s="1" t="s">
        <v>35</v>
      </c>
      <c r="H711" s="10">
        <f t="shared" si="22"/>
        <v>5601</v>
      </c>
      <c r="I711" s="7">
        <v>4460.1032063565517</v>
      </c>
      <c r="J711" s="7">
        <f t="shared" si="23"/>
        <v>1140.8967936434483</v>
      </c>
      <c r="K711" s="1">
        <f>IF(B711="North",28.6,
IF(B711="South",13,
IF(B711="East",22.6,
IF(B711="West",19,
23.5))))</f>
        <v>22.6</v>
      </c>
      <c r="L711" s="1">
        <f>IF(B711="North",77.2,
IF(B711="South",80.2,
IF(B711="East",88.4,
IF(B711="West",72.8,
78.9))))</f>
        <v>88.4</v>
      </c>
    </row>
    <row r="712" spans="1:12" x14ac:dyDescent="0.25">
      <c r="A712" s="5">
        <v>45544</v>
      </c>
      <c r="B712" s="1" t="s">
        <v>12</v>
      </c>
      <c r="C712" s="1" t="s">
        <v>22</v>
      </c>
      <c r="D712" s="1" t="s">
        <v>32</v>
      </c>
      <c r="E712" s="10">
        <v>6</v>
      </c>
      <c r="F712" s="10">
        <v>971</v>
      </c>
      <c r="G712" s="1" t="s">
        <v>35</v>
      </c>
      <c r="H712" s="10">
        <f t="shared" si="22"/>
        <v>5826</v>
      </c>
      <c r="I712" s="7">
        <v>5019.3942204317636</v>
      </c>
      <c r="J712" s="7">
        <f t="shared" si="23"/>
        <v>806.60577956823636</v>
      </c>
      <c r="K712" s="1">
        <f>IF(B712="North",28.6,
IF(B712="South",13,
IF(B712="East",22.6,
IF(B712="West",19,
23.5))))</f>
        <v>22.6</v>
      </c>
      <c r="L712" s="1">
        <f>IF(B712="North",77.2,
IF(B712="South",80.2,
IF(B712="East",88.4,
IF(B712="West",72.8,
78.9))))</f>
        <v>88.4</v>
      </c>
    </row>
    <row r="713" spans="1:12" x14ac:dyDescent="0.25">
      <c r="A713" s="5">
        <v>45373</v>
      </c>
      <c r="B713" s="1" t="s">
        <v>10</v>
      </c>
      <c r="C713" s="1" t="s">
        <v>19</v>
      </c>
      <c r="D713" s="1" t="s">
        <v>26</v>
      </c>
      <c r="E713" s="10">
        <v>17</v>
      </c>
      <c r="F713" s="10">
        <v>303</v>
      </c>
      <c r="G713" s="1" t="s">
        <v>35</v>
      </c>
      <c r="H713" s="10">
        <f t="shared" si="22"/>
        <v>5151</v>
      </c>
      <c r="I713" s="7">
        <v>4589.2466036242186</v>
      </c>
      <c r="J713" s="7">
        <f t="shared" si="23"/>
        <v>561.75339637578145</v>
      </c>
      <c r="K713" s="1">
        <f>IF(B713="North",28.6,
IF(B713="South",13,
IF(B713="East",22.6,
IF(B713="West",19,
23.5))))</f>
        <v>28.6</v>
      </c>
      <c r="L713" s="1">
        <f>IF(B713="North",77.2,
IF(B713="South",80.2,
IF(B713="East",88.4,
IF(B713="West",72.8,
78.9))))</f>
        <v>77.2</v>
      </c>
    </row>
    <row r="714" spans="1:12" x14ac:dyDescent="0.25">
      <c r="A714" s="5">
        <v>45547</v>
      </c>
      <c r="B714" s="1" t="s">
        <v>11</v>
      </c>
      <c r="C714" s="1" t="s">
        <v>17</v>
      </c>
      <c r="D714" s="1" t="s">
        <v>32</v>
      </c>
      <c r="E714" s="10">
        <v>8</v>
      </c>
      <c r="F714" s="10">
        <v>1336</v>
      </c>
      <c r="G714" s="1" t="s">
        <v>33</v>
      </c>
      <c r="H714" s="10">
        <f t="shared" si="22"/>
        <v>10688</v>
      </c>
      <c r="I714" s="7">
        <v>7507.255264105218</v>
      </c>
      <c r="J714" s="7">
        <f t="shared" si="23"/>
        <v>3180.744735894782</v>
      </c>
      <c r="K714" s="1">
        <f>IF(B714="North",28.6,
IF(B714="South",13,
IF(B714="East",22.6,
IF(B714="West",19,
23.5))))</f>
        <v>19</v>
      </c>
      <c r="L714" s="1">
        <f>IF(B714="North",77.2,
IF(B714="South",80.2,
IF(B714="East",88.4,
IF(B714="West",72.8,
78.9))))</f>
        <v>72.8</v>
      </c>
    </row>
    <row r="715" spans="1:12" x14ac:dyDescent="0.25">
      <c r="A715" s="5">
        <v>45488</v>
      </c>
      <c r="B715" s="1" t="s">
        <v>11</v>
      </c>
      <c r="C715" s="1" t="s">
        <v>20</v>
      </c>
      <c r="D715" s="1" t="s">
        <v>26</v>
      </c>
      <c r="E715" s="10">
        <v>11</v>
      </c>
      <c r="F715" s="10">
        <v>651</v>
      </c>
      <c r="G715" s="1" t="s">
        <v>33</v>
      </c>
      <c r="H715" s="10">
        <f t="shared" si="22"/>
        <v>7161</v>
      </c>
      <c r="I715" s="7">
        <v>6007.8361485085661</v>
      </c>
      <c r="J715" s="7">
        <f t="shared" si="23"/>
        <v>1153.1638514914339</v>
      </c>
      <c r="K715" s="1">
        <f>IF(B715="North",28.6,
IF(B715="South",13,
IF(B715="East",22.6,
IF(B715="West",19,
23.5))))</f>
        <v>19</v>
      </c>
      <c r="L715" s="1">
        <f>IF(B715="North",77.2,
IF(B715="South",80.2,
IF(B715="East",88.4,
IF(B715="West",72.8,
78.9))))</f>
        <v>72.8</v>
      </c>
    </row>
    <row r="716" spans="1:12" x14ac:dyDescent="0.25">
      <c r="A716" s="5">
        <v>45594</v>
      </c>
      <c r="B716" s="1" t="s">
        <v>12</v>
      </c>
      <c r="C716" s="1" t="s">
        <v>20</v>
      </c>
      <c r="D716" s="1" t="s">
        <v>30</v>
      </c>
      <c r="E716" s="10">
        <v>6</v>
      </c>
      <c r="F716" s="10">
        <v>1910</v>
      </c>
      <c r="G716" s="1" t="s">
        <v>33</v>
      </c>
      <c r="H716" s="10">
        <f t="shared" si="22"/>
        <v>11460</v>
      </c>
      <c r="I716" s="7">
        <v>9803.5629085784039</v>
      </c>
      <c r="J716" s="7">
        <f t="shared" si="23"/>
        <v>1656.4370914215961</v>
      </c>
      <c r="K716" s="1">
        <f>IF(B716="North",28.6,
IF(B716="South",13,
IF(B716="East",22.6,
IF(B716="West",19,
23.5))))</f>
        <v>22.6</v>
      </c>
      <c r="L716" s="1">
        <f>IF(B716="North",77.2,
IF(B716="South",80.2,
IF(B716="East",88.4,
IF(B716="West",72.8,
78.9))))</f>
        <v>88.4</v>
      </c>
    </row>
    <row r="717" spans="1:12" x14ac:dyDescent="0.25">
      <c r="A717" s="5">
        <v>45301</v>
      </c>
      <c r="B717" s="1" t="s">
        <v>10</v>
      </c>
      <c r="C717" s="1" t="s">
        <v>22</v>
      </c>
      <c r="D717" s="1" t="s">
        <v>31</v>
      </c>
      <c r="E717" s="10">
        <v>10</v>
      </c>
      <c r="F717" s="10">
        <v>422</v>
      </c>
      <c r="G717" s="1" t="s">
        <v>35</v>
      </c>
      <c r="H717" s="10">
        <f t="shared" si="22"/>
        <v>4220</v>
      </c>
      <c r="I717" s="7">
        <f>H717*0.7</f>
        <v>2954</v>
      </c>
      <c r="J717" s="7">
        <f t="shared" si="23"/>
        <v>1266</v>
      </c>
      <c r="K717" s="1">
        <f>IF(B717="North",28.6,
IF(B717="South",13,
IF(B717="East",22.6,
IF(B717="West",19,
23.5))))</f>
        <v>28.6</v>
      </c>
      <c r="L717" s="1">
        <f>IF(B717="North",77.2,
IF(B717="South",80.2,
IF(B717="East",88.4,
IF(B717="West",72.8,
78.9))))</f>
        <v>77.2</v>
      </c>
    </row>
    <row r="718" spans="1:12" x14ac:dyDescent="0.25">
      <c r="A718" s="5">
        <v>45603</v>
      </c>
      <c r="B718" s="1" t="s">
        <v>13</v>
      </c>
      <c r="C718" s="1" t="s">
        <v>24</v>
      </c>
      <c r="D718" s="1" t="s">
        <v>32</v>
      </c>
      <c r="E718" s="10">
        <v>10</v>
      </c>
      <c r="F718" s="10">
        <v>693</v>
      </c>
      <c r="G718" s="1" t="s">
        <v>35</v>
      </c>
      <c r="H718" s="10">
        <f t="shared" si="22"/>
        <v>6930</v>
      </c>
      <c r="I718" s="7">
        <v>4880.643523155677</v>
      </c>
      <c r="J718" s="7">
        <f t="shared" si="23"/>
        <v>2049.356476844323</v>
      </c>
      <c r="K718" s="1">
        <f>IF(B718="North",28.6,
IF(B718="South",13,
IF(B718="East",22.6,
IF(B718="West",19,
23.5))))</f>
        <v>13</v>
      </c>
      <c r="L718" s="1">
        <f>IF(B718="North",77.2,
IF(B718="South",80.2,
IF(B718="East",88.4,
IF(B718="West",72.8,
78.9))))</f>
        <v>80.2</v>
      </c>
    </row>
    <row r="719" spans="1:12" x14ac:dyDescent="0.25">
      <c r="A719" s="5">
        <v>45577</v>
      </c>
      <c r="B719" s="1" t="s">
        <v>13</v>
      </c>
      <c r="C719" s="1" t="s">
        <v>18</v>
      </c>
      <c r="D719" s="1" t="s">
        <v>26</v>
      </c>
      <c r="E719" s="10">
        <v>3</v>
      </c>
      <c r="F719" s="10">
        <v>280</v>
      </c>
      <c r="G719" s="1" t="s">
        <v>34</v>
      </c>
      <c r="H719" s="10">
        <f t="shared" si="22"/>
        <v>840</v>
      </c>
      <c r="I719" s="7">
        <v>660.01031844899785</v>
      </c>
      <c r="J719" s="7">
        <f t="shared" si="23"/>
        <v>179.98968155100215</v>
      </c>
      <c r="K719" s="1">
        <f>IF(B719="North",28.6,
IF(B719="South",13,
IF(B719="East",22.6,
IF(B719="West",19,
23.5))))</f>
        <v>13</v>
      </c>
      <c r="L719" s="1">
        <f>IF(B719="North",77.2,
IF(B719="South",80.2,
IF(B719="East",88.4,
IF(B719="West",72.8,
78.9))))</f>
        <v>80.2</v>
      </c>
    </row>
    <row r="720" spans="1:12" x14ac:dyDescent="0.25">
      <c r="A720" s="5">
        <v>45533</v>
      </c>
      <c r="B720" s="1" t="s">
        <v>11</v>
      </c>
      <c r="C720" s="1" t="s">
        <v>21</v>
      </c>
      <c r="D720" s="1" t="s">
        <v>29</v>
      </c>
      <c r="E720" s="10">
        <v>14</v>
      </c>
      <c r="F720" s="10">
        <v>598</v>
      </c>
      <c r="G720" s="1" t="s">
        <v>35</v>
      </c>
      <c r="H720" s="10">
        <f t="shared" si="22"/>
        <v>8372</v>
      </c>
      <c r="I720" s="7">
        <v>6491.1018680687948</v>
      </c>
      <c r="J720" s="7">
        <f t="shared" si="23"/>
        <v>1880.8981319312052</v>
      </c>
      <c r="K720" s="1">
        <f>IF(B720="North",28.6,
IF(B720="South",13,
IF(B720="East",22.6,
IF(B720="West",19,
23.5))))</f>
        <v>19</v>
      </c>
      <c r="L720" s="1">
        <f>IF(B720="North",77.2,
IF(B720="South",80.2,
IF(B720="East",88.4,
IF(B720="West",72.8,
78.9))))</f>
        <v>72.8</v>
      </c>
    </row>
    <row r="721" spans="1:12" x14ac:dyDescent="0.25">
      <c r="A721" s="5">
        <v>45542</v>
      </c>
      <c r="B721" s="1" t="s">
        <v>13</v>
      </c>
      <c r="C721" s="1" t="s">
        <v>22</v>
      </c>
      <c r="D721" s="1" t="s">
        <v>27</v>
      </c>
      <c r="E721" s="10">
        <v>14</v>
      </c>
      <c r="F721" s="10">
        <v>1443</v>
      </c>
      <c r="G721" s="1" t="s">
        <v>35</v>
      </c>
      <c r="H721" s="10">
        <f t="shared" si="22"/>
        <v>20202</v>
      </c>
      <c r="I721" s="7">
        <v>15797.10848043021</v>
      </c>
      <c r="J721" s="7">
        <f t="shared" si="23"/>
        <v>4404.89151956979</v>
      </c>
      <c r="K721" s="1">
        <f>IF(B721="North",28.6,
IF(B721="South",13,
IF(B721="East",22.6,
IF(B721="West",19,
23.5))))</f>
        <v>13</v>
      </c>
      <c r="L721" s="1">
        <f>IF(B721="North",77.2,
IF(B721="South",80.2,
IF(B721="East",88.4,
IF(B721="West",72.8,
78.9))))</f>
        <v>80.2</v>
      </c>
    </row>
    <row r="722" spans="1:12" x14ac:dyDescent="0.25">
      <c r="A722" s="5">
        <v>45656</v>
      </c>
      <c r="B722" s="1" t="s">
        <v>11</v>
      </c>
      <c r="C722" s="1" t="s">
        <v>19</v>
      </c>
      <c r="D722" s="1" t="s">
        <v>27</v>
      </c>
      <c r="E722" s="10">
        <v>10</v>
      </c>
      <c r="F722" s="10">
        <v>182</v>
      </c>
      <c r="G722" s="1" t="s">
        <v>35</v>
      </c>
      <c r="H722" s="10">
        <f t="shared" si="22"/>
        <v>1820</v>
      </c>
      <c r="I722" s="7">
        <v>1430.116076728096</v>
      </c>
      <c r="J722" s="7">
        <f t="shared" si="23"/>
        <v>389.883923271904</v>
      </c>
      <c r="K722" s="1">
        <f>IF(B722="North",28.6,
IF(B722="South",13,
IF(B722="East",22.6,
IF(B722="West",19,
23.5))))</f>
        <v>19</v>
      </c>
      <c r="L722" s="1">
        <f>IF(B722="North",77.2,
IF(B722="South",80.2,
IF(B722="East",88.4,
IF(B722="West",72.8,
78.9))))</f>
        <v>72.8</v>
      </c>
    </row>
    <row r="723" spans="1:12" x14ac:dyDescent="0.25">
      <c r="A723" s="5">
        <v>45296</v>
      </c>
      <c r="B723" s="1" t="s">
        <v>11</v>
      </c>
      <c r="C723" s="1" t="s">
        <v>21</v>
      </c>
      <c r="D723" s="1" t="s">
        <v>32</v>
      </c>
      <c r="E723" s="10">
        <v>12</v>
      </c>
      <c r="F723" s="10">
        <v>402</v>
      </c>
      <c r="G723" s="1" t="s">
        <v>35</v>
      </c>
      <c r="H723" s="10">
        <f t="shared" si="22"/>
        <v>4824</v>
      </c>
      <c r="I723" s="7">
        <v>4120.2626138295163</v>
      </c>
      <c r="J723" s="7">
        <f t="shared" si="23"/>
        <v>703.73738617048366</v>
      </c>
      <c r="K723" s="1">
        <f>IF(B723="North",28.6,
IF(B723="South",13,
IF(B723="East",22.6,
IF(B723="West",19,
23.5))))</f>
        <v>19</v>
      </c>
      <c r="L723" s="1">
        <f>IF(B723="North",77.2,
IF(B723="South",80.2,
IF(B723="East",88.4,
IF(B723="West",72.8,
78.9))))</f>
        <v>72.8</v>
      </c>
    </row>
    <row r="724" spans="1:12" x14ac:dyDescent="0.25">
      <c r="A724" s="5">
        <v>45410</v>
      </c>
      <c r="B724" s="1" t="s">
        <v>11</v>
      </c>
      <c r="C724" s="1" t="s">
        <v>24</v>
      </c>
      <c r="D724" s="1" t="s">
        <v>31</v>
      </c>
      <c r="E724" s="10">
        <v>6</v>
      </c>
      <c r="F724" s="10">
        <v>361</v>
      </c>
      <c r="G724" s="1" t="s">
        <v>35</v>
      </c>
      <c r="H724" s="10">
        <f t="shared" si="22"/>
        <v>2166</v>
      </c>
      <c r="I724" s="7">
        <v>1410.1189673211111</v>
      </c>
      <c r="J724" s="7">
        <f t="shared" si="23"/>
        <v>755.88103267888891</v>
      </c>
      <c r="K724" s="1">
        <f>IF(B724="North",28.6,
IF(B724="South",13,
IF(B724="East",22.6,
IF(B724="West",19,
23.5))))</f>
        <v>19</v>
      </c>
      <c r="L724" s="1">
        <f>IF(B724="North",77.2,
IF(B724="South",80.2,
IF(B724="East",88.4,
IF(B724="West",72.8,
78.9))))</f>
        <v>72.8</v>
      </c>
    </row>
    <row r="725" spans="1:12" x14ac:dyDescent="0.25">
      <c r="A725" s="5">
        <v>45580</v>
      </c>
      <c r="B725" s="1" t="s">
        <v>13</v>
      </c>
      <c r="C725" s="1" t="s">
        <v>19</v>
      </c>
      <c r="D725" s="1" t="s">
        <v>29</v>
      </c>
      <c r="E725" s="10">
        <v>12</v>
      </c>
      <c r="F725" s="10">
        <v>883</v>
      </c>
      <c r="G725" s="1" t="s">
        <v>35</v>
      </c>
      <c r="H725" s="10">
        <f t="shared" si="22"/>
        <v>10596</v>
      </c>
      <c r="I725" s="7">
        <v>7525.1540006790956</v>
      </c>
      <c r="J725" s="7">
        <f t="shared" si="23"/>
        <v>3070.8459993209044</v>
      </c>
      <c r="K725" s="1">
        <f>IF(B725="North",28.6,
IF(B725="South",13,
IF(B725="East",22.6,
IF(B725="West",19,
23.5))))</f>
        <v>13</v>
      </c>
      <c r="L725" s="1">
        <f>IF(B725="North",77.2,
IF(B725="South",80.2,
IF(B725="East",88.4,
IF(B725="West",72.8,
78.9))))</f>
        <v>80.2</v>
      </c>
    </row>
    <row r="726" spans="1:12" x14ac:dyDescent="0.25">
      <c r="A726" s="5">
        <v>45356</v>
      </c>
      <c r="B726" s="1" t="s">
        <v>11</v>
      </c>
      <c r="C726" s="1" t="s">
        <v>23</v>
      </c>
      <c r="D726" s="1" t="s">
        <v>32</v>
      </c>
      <c r="E726" s="10">
        <v>14</v>
      </c>
      <c r="F726" s="10">
        <v>1323</v>
      </c>
      <c r="G726" s="1" t="s">
        <v>34</v>
      </c>
      <c r="H726" s="10">
        <f t="shared" si="22"/>
        <v>18522</v>
      </c>
      <c r="I726" s="7">
        <v>14369.37719819696</v>
      </c>
      <c r="J726" s="7">
        <f t="shared" si="23"/>
        <v>4152.6228018030397</v>
      </c>
      <c r="K726" s="1">
        <f>IF(B726="North",28.6,
IF(B726="South",13,
IF(B726="East",22.6,
IF(B726="West",19,
23.5))))</f>
        <v>19</v>
      </c>
      <c r="L726" s="1">
        <f>IF(B726="North",77.2,
IF(B726="South",80.2,
IF(B726="East",88.4,
IF(B726="West",72.8,
78.9))))</f>
        <v>72.8</v>
      </c>
    </row>
    <row r="727" spans="1:12" x14ac:dyDescent="0.25">
      <c r="A727" s="5">
        <v>45437</v>
      </c>
      <c r="B727" s="1" t="s">
        <v>12</v>
      </c>
      <c r="C727" s="1" t="s">
        <v>18</v>
      </c>
      <c r="D727" s="1" t="s">
        <v>30</v>
      </c>
      <c r="E727" s="10">
        <v>2</v>
      </c>
      <c r="F727" s="10">
        <v>1363</v>
      </c>
      <c r="G727" s="1" t="s">
        <v>34</v>
      </c>
      <c r="H727" s="10">
        <f t="shared" si="22"/>
        <v>2726</v>
      </c>
      <c r="I727" s="7">
        <v>1867.305424636588</v>
      </c>
      <c r="J727" s="7">
        <f t="shared" si="23"/>
        <v>858.69457536341201</v>
      </c>
      <c r="K727" s="1">
        <f>IF(B727="North",28.6,
IF(B727="South",13,
IF(B727="East",22.6,
IF(B727="West",19,
23.5))))</f>
        <v>22.6</v>
      </c>
      <c r="L727" s="1">
        <f>IF(B727="North",77.2,
IF(B727="South",80.2,
IF(B727="East",88.4,
IF(B727="West",72.8,
78.9))))</f>
        <v>88.4</v>
      </c>
    </row>
    <row r="728" spans="1:12" x14ac:dyDescent="0.25">
      <c r="A728" s="5">
        <v>45515</v>
      </c>
      <c r="B728" s="1" t="s">
        <v>10</v>
      </c>
      <c r="C728" s="1" t="s">
        <v>17</v>
      </c>
      <c r="D728" s="1" t="s">
        <v>26</v>
      </c>
      <c r="E728" s="10">
        <v>9</v>
      </c>
      <c r="F728" s="10">
        <v>1013</v>
      </c>
      <c r="G728" s="1" t="s">
        <v>33</v>
      </c>
      <c r="H728" s="10">
        <f t="shared" si="22"/>
        <v>9117</v>
      </c>
      <c r="I728" s="7">
        <v>8145.546604212057</v>
      </c>
      <c r="J728" s="7">
        <f t="shared" si="23"/>
        <v>971.45339578794301</v>
      </c>
      <c r="K728" s="1">
        <f>IF(B728="North",28.6,
IF(B728="South",13,
IF(B728="East",22.6,
IF(B728="West",19,
23.5))))</f>
        <v>28.6</v>
      </c>
      <c r="L728" s="1">
        <f>IF(B728="North",77.2,
IF(B728="South",80.2,
IF(B728="East",88.4,
IF(B728="West",72.8,
78.9))))</f>
        <v>77.2</v>
      </c>
    </row>
    <row r="729" spans="1:12" x14ac:dyDescent="0.25">
      <c r="A729" s="5">
        <v>45530</v>
      </c>
      <c r="B729" s="1" t="s">
        <v>10</v>
      </c>
      <c r="C729" s="1" t="s">
        <v>19</v>
      </c>
      <c r="D729" s="1" t="s">
        <v>25</v>
      </c>
      <c r="E729" s="10">
        <v>10</v>
      </c>
      <c r="F729" s="10">
        <v>791</v>
      </c>
      <c r="G729" s="1" t="s">
        <v>35</v>
      </c>
      <c r="H729" s="10">
        <f t="shared" si="22"/>
        <v>7910</v>
      </c>
      <c r="I729" s="7">
        <v>5370.4555660363267</v>
      </c>
      <c r="J729" s="7">
        <f t="shared" si="23"/>
        <v>2539.5444339636733</v>
      </c>
      <c r="K729" s="1">
        <f>IF(B729="North",28.6,
IF(B729="South",13,
IF(B729="East",22.6,
IF(B729="West",19,
23.5))))</f>
        <v>28.6</v>
      </c>
      <c r="L729" s="1">
        <f>IF(B729="North",77.2,
IF(B729="South",80.2,
IF(B729="East",88.4,
IF(B729="West",72.8,
78.9))))</f>
        <v>77.2</v>
      </c>
    </row>
    <row r="730" spans="1:12" x14ac:dyDescent="0.25">
      <c r="A730" s="5">
        <v>45468</v>
      </c>
      <c r="B730" s="1" t="s">
        <v>11</v>
      </c>
      <c r="C730" s="1" t="s">
        <v>17</v>
      </c>
      <c r="D730" s="1" t="s">
        <v>30</v>
      </c>
      <c r="E730" s="10">
        <v>17</v>
      </c>
      <c r="F730" s="10">
        <v>1043</v>
      </c>
      <c r="G730" s="1" t="s">
        <v>33</v>
      </c>
      <c r="H730" s="10">
        <f t="shared" si="22"/>
        <v>17731</v>
      </c>
      <c r="I730" s="7">
        <v>13136.69690480093</v>
      </c>
      <c r="J730" s="7">
        <f t="shared" si="23"/>
        <v>4594.3030951990695</v>
      </c>
      <c r="K730" s="1">
        <f>IF(B730="North",28.6,
IF(B730="South",13,
IF(B730="East",22.6,
IF(B730="West",19,
23.5))))</f>
        <v>19</v>
      </c>
      <c r="L730" s="1">
        <f>IF(B730="North",77.2,
IF(B730="South",80.2,
IF(B730="East",88.4,
IF(B730="West",72.8,
78.9))))</f>
        <v>72.8</v>
      </c>
    </row>
    <row r="731" spans="1:12" x14ac:dyDescent="0.25">
      <c r="A731" s="5">
        <v>45558</v>
      </c>
      <c r="B731" s="1" t="s">
        <v>10</v>
      </c>
      <c r="C731" s="1" t="s">
        <v>24</v>
      </c>
      <c r="D731" s="1" t="s">
        <v>27</v>
      </c>
      <c r="E731" s="10">
        <v>17</v>
      </c>
      <c r="F731" s="10">
        <v>782</v>
      </c>
      <c r="G731" s="1" t="s">
        <v>35</v>
      </c>
      <c r="H731" s="10">
        <f t="shared" si="22"/>
        <v>13294</v>
      </c>
      <c r="I731" s="7">
        <v>11475.507275312861</v>
      </c>
      <c r="J731" s="7">
        <f t="shared" si="23"/>
        <v>1818.4927246871393</v>
      </c>
      <c r="K731" s="1">
        <f>IF(B731="North",28.6,
IF(B731="South",13,
IF(B731="East",22.6,
IF(B731="West",19,
23.5))))</f>
        <v>28.6</v>
      </c>
      <c r="L731" s="1">
        <f>IF(B731="North",77.2,
IF(B731="South",80.2,
IF(B731="East",88.4,
IF(B731="West",72.8,
78.9))))</f>
        <v>77.2</v>
      </c>
    </row>
    <row r="732" spans="1:12" x14ac:dyDescent="0.25">
      <c r="A732" s="5">
        <v>45632</v>
      </c>
      <c r="B732" s="1" t="s">
        <v>13</v>
      </c>
      <c r="C732" s="1" t="s">
        <v>17</v>
      </c>
      <c r="D732" s="1" t="s">
        <v>26</v>
      </c>
      <c r="E732" s="10">
        <v>3</v>
      </c>
      <c r="F732" s="10">
        <v>1418</v>
      </c>
      <c r="G732" s="1" t="s">
        <v>33</v>
      </c>
      <c r="H732" s="10">
        <f t="shared" si="22"/>
        <v>4254</v>
      </c>
      <c r="I732" s="7">
        <v>2654.57724628698</v>
      </c>
      <c r="J732" s="7">
        <f t="shared" si="23"/>
        <v>1599.42275371302</v>
      </c>
      <c r="K732" s="1">
        <f>IF(B732="North",28.6,
IF(B732="South",13,
IF(B732="East",22.6,
IF(B732="West",19,
23.5))))</f>
        <v>13</v>
      </c>
      <c r="L732" s="1">
        <f>IF(B732="North",77.2,
IF(B732="South",80.2,
IF(B732="East",88.4,
IF(B732="West",72.8,
78.9))))</f>
        <v>80.2</v>
      </c>
    </row>
    <row r="733" spans="1:12" x14ac:dyDescent="0.25">
      <c r="A733" s="5">
        <v>45573</v>
      </c>
      <c r="B733" s="1" t="s">
        <v>13</v>
      </c>
      <c r="C733" s="1" t="s">
        <v>21</v>
      </c>
      <c r="D733" s="1" t="s">
        <v>32</v>
      </c>
      <c r="E733" s="10">
        <v>19</v>
      </c>
      <c r="F733" s="10">
        <v>1635</v>
      </c>
      <c r="G733" s="1" t="s">
        <v>35</v>
      </c>
      <c r="H733" s="10">
        <f t="shared" si="22"/>
        <v>31065</v>
      </c>
      <c r="I733" s="7">
        <v>26287.401835517379</v>
      </c>
      <c r="J733" s="7">
        <f t="shared" si="23"/>
        <v>4777.5981644826206</v>
      </c>
      <c r="K733" s="1">
        <f>IF(B733="North",28.6,
IF(B733="South",13,
IF(B733="East",22.6,
IF(B733="West",19,
23.5))))</f>
        <v>13</v>
      </c>
      <c r="L733" s="1">
        <f>IF(B733="North",77.2,
IF(B733="South",80.2,
IF(B733="East",88.4,
IF(B733="West",72.8,
78.9))))</f>
        <v>80.2</v>
      </c>
    </row>
    <row r="734" spans="1:12" x14ac:dyDescent="0.25">
      <c r="A734" s="5">
        <v>45354</v>
      </c>
      <c r="B734" s="1" t="s">
        <v>10</v>
      </c>
      <c r="C734" s="1" t="s">
        <v>21</v>
      </c>
      <c r="D734" s="1" t="s">
        <v>30</v>
      </c>
      <c r="E734" s="10">
        <v>1</v>
      </c>
      <c r="F734" s="10">
        <v>788</v>
      </c>
      <c r="G734" s="1" t="s">
        <v>35</v>
      </c>
      <c r="H734" s="10">
        <f t="shared" si="22"/>
        <v>788</v>
      </c>
      <c r="I734" s="7">
        <v>607.78637842561193</v>
      </c>
      <c r="J734" s="7">
        <f t="shared" si="23"/>
        <v>180.21362157438807</v>
      </c>
      <c r="K734" s="1">
        <f>IF(B734="North",28.6,
IF(B734="South",13,
IF(B734="East",22.6,
IF(B734="West",19,
23.5))))</f>
        <v>28.6</v>
      </c>
      <c r="L734" s="1">
        <f>IF(B734="North",77.2,
IF(B734="South",80.2,
IF(B734="East",88.4,
IF(B734="West",72.8,
78.9))))</f>
        <v>77.2</v>
      </c>
    </row>
    <row r="735" spans="1:12" x14ac:dyDescent="0.25">
      <c r="A735" s="5">
        <v>45508</v>
      </c>
      <c r="B735" s="1" t="s">
        <v>13</v>
      </c>
      <c r="C735" s="1" t="s">
        <v>21</v>
      </c>
      <c r="D735" s="1" t="s">
        <v>28</v>
      </c>
      <c r="E735" s="10">
        <v>12</v>
      </c>
      <c r="F735" s="10">
        <v>495</v>
      </c>
      <c r="G735" s="1" t="s">
        <v>35</v>
      </c>
      <c r="H735" s="10">
        <f t="shared" si="22"/>
        <v>5940</v>
      </c>
      <c r="I735" s="7">
        <v>3620.6712367406521</v>
      </c>
      <c r="J735" s="7">
        <f t="shared" si="23"/>
        <v>2319.3287632593479</v>
      </c>
      <c r="K735" s="1">
        <f>IF(B735="North",28.6,
IF(B735="South",13,
IF(B735="East",22.6,
IF(B735="West",19,
23.5))))</f>
        <v>13</v>
      </c>
      <c r="L735" s="1">
        <f>IF(B735="North",77.2,
IF(B735="South",80.2,
IF(B735="East",88.4,
IF(B735="West",72.8,
78.9))))</f>
        <v>80.2</v>
      </c>
    </row>
    <row r="736" spans="1:12" x14ac:dyDescent="0.25">
      <c r="A736" s="5">
        <v>45633</v>
      </c>
      <c r="B736" s="1" t="s">
        <v>10</v>
      </c>
      <c r="C736" s="1" t="s">
        <v>21</v>
      </c>
      <c r="D736" s="1" t="s">
        <v>25</v>
      </c>
      <c r="E736" s="10">
        <v>7</v>
      </c>
      <c r="F736" s="10">
        <v>1872</v>
      </c>
      <c r="G736" s="1" t="s">
        <v>35</v>
      </c>
      <c r="H736" s="10">
        <f t="shared" si="22"/>
        <v>13104</v>
      </c>
      <c r="I736" s="7">
        <v>11411.93116089976</v>
      </c>
      <c r="J736" s="7">
        <f t="shared" si="23"/>
        <v>1692.0688391002404</v>
      </c>
      <c r="K736" s="1">
        <f>IF(B736="North",28.6,
IF(B736="South",13,
IF(B736="East",22.6,
IF(B736="West",19,
23.5))))</f>
        <v>28.6</v>
      </c>
      <c r="L736" s="1">
        <f>IF(B736="North",77.2,
IF(B736="South",80.2,
IF(B736="East",88.4,
IF(B736="West",72.8,
78.9))))</f>
        <v>77.2</v>
      </c>
    </row>
    <row r="737" spans="1:12" x14ac:dyDescent="0.25">
      <c r="A737" s="5">
        <v>45606</v>
      </c>
      <c r="B737" s="1" t="s">
        <v>10</v>
      </c>
      <c r="C737" s="1" t="s">
        <v>21</v>
      </c>
      <c r="D737" s="1" t="s">
        <v>31</v>
      </c>
      <c r="E737" s="10">
        <v>4</v>
      </c>
      <c r="F737" s="10">
        <v>1261</v>
      </c>
      <c r="G737" s="1" t="s">
        <v>35</v>
      </c>
      <c r="H737" s="10">
        <f t="shared" si="22"/>
        <v>5044</v>
      </c>
      <c r="I737" s="7">
        <v>3085.7126514116298</v>
      </c>
      <c r="J737" s="7">
        <f t="shared" si="23"/>
        <v>1958.2873485883702</v>
      </c>
      <c r="K737" s="1">
        <f>IF(B737="North",28.6,
IF(B737="South",13,
IF(B737="East",22.6,
IF(B737="West",19,
23.5))))</f>
        <v>28.6</v>
      </c>
      <c r="L737" s="1">
        <f>IF(B737="North",77.2,
IF(B737="South",80.2,
IF(B737="East",88.4,
IF(B737="West",72.8,
78.9))))</f>
        <v>77.2</v>
      </c>
    </row>
    <row r="738" spans="1:12" x14ac:dyDescent="0.25">
      <c r="A738" s="5">
        <v>45574</v>
      </c>
      <c r="B738" s="1" t="s">
        <v>10</v>
      </c>
      <c r="C738" s="1" t="s">
        <v>19</v>
      </c>
      <c r="D738" s="1" t="s">
        <v>29</v>
      </c>
      <c r="E738" s="10">
        <v>10</v>
      </c>
      <c r="F738" s="10">
        <v>938</v>
      </c>
      <c r="G738" s="1" t="s">
        <v>35</v>
      </c>
      <c r="H738" s="10">
        <f t="shared" si="22"/>
        <v>9380</v>
      </c>
      <c r="I738" s="7">
        <v>7077.8228787074186</v>
      </c>
      <c r="J738" s="7">
        <f t="shared" si="23"/>
        <v>2302.1771212925814</v>
      </c>
      <c r="K738" s="1">
        <f>IF(B738="North",28.6,
IF(B738="South",13,
IF(B738="East",22.6,
IF(B738="West",19,
23.5))))</f>
        <v>28.6</v>
      </c>
      <c r="L738" s="1">
        <f>IF(B738="North",77.2,
IF(B738="South",80.2,
IF(B738="East",88.4,
IF(B738="West",72.8,
78.9))))</f>
        <v>77.2</v>
      </c>
    </row>
    <row r="739" spans="1:12" x14ac:dyDescent="0.25">
      <c r="A739" s="5">
        <v>45468</v>
      </c>
      <c r="B739" s="1" t="s">
        <v>11</v>
      </c>
      <c r="C739" s="1" t="s">
        <v>21</v>
      </c>
      <c r="D739" s="1" t="s">
        <v>29</v>
      </c>
      <c r="E739" s="10">
        <v>13</v>
      </c>
      <c r="F739" s="10">
        <v>977</v>
      </c>
      <c r="G739" s="1" t="s">
        <v>35</v>
      </c>
      <c r="H739" s="10">
        <f t="shared" si="22"/>
        <v>12701</v>
      </c>
      <c r="I739" s="7">
        <v>7807.4237580271556</v>
      </c>
      <c r="J739" s="7">
        <f t="shared" si="23"/>
        <v>4893.5762419728444</v>
      </c>
      <c r="K739" s="1">
        <f>IF(B739="North",28.6,
IF(B739="South",13,
IF(B739="East",22.6,
IF(B739="West",19,
23.5))))</f>
        <v>19</v>
      </c>
      <c r="L739" s="1">
        <f>IF(B739="North",77.2,
IF(B739="South",80.2,
IF(B739="East",88.4,
IF(B739="West",72.8,
78.9))))</f>
        <v>72.8</v>
      </c>
    </row>
    <row r="740" spans="1:12" x14ac:dyDescent="0.25">
      <c r="A740" s="5">
        <v>45389</v>
      </c>
      <c r="B740" s="1" t="s">
        <v>10</v>
      </c>
      <c r="C740" s="1" t="s">
        <v>40</v>
      </c>
      <c r="D740" s="1" t="s">
        <v>31</v>
      </c>
      <c r="E740" s="10">
        <v>2</v>
      </c>
      <c r="F740" s="10">
        <v>922</v>
      </c>
      <c r="G740" s="1" t="s">
        <v>35</v>
      </c>
      <c r="H740" s="10">
        <f t="shared" si="22"/>
        <v>1844</v>
      </c>
      <c r="I740" s="7">
        <v>1145.7878944760921</v>
      </c>
      <c r="J740" s="7">
        <f t="shared" si="23"/>
        <v>698.21210552390789</v>
      </c>
      <c r="K740" s="1">
        <f>IF(B740="North",28.6,
IF(B740="South",13,
IF(B740="East",22.6,
IF(B740="West",19,
23.5))))</f>
        <v>28.6</v>
      </c>
      <c r="L740" s="1">
        <f>IF(B740="North",77.2,
IF(B740="South",80.2,
IF(B740="East",88.4,
IF(B740="West",72.8,
78.9))))</f>
        <v>77.2</v>
      </c>
    </row>
    <row r="741" spans="1:12" x14ac:dyDescent="0.25">
      <c r="A741" s="5">
        <v>45396</v>
      </c>
      <c r="B741" s="1" t="s">
        <v>11</v>
      </c>
      <c r="C741" s="1" t="s">
        <v>21</v>
      </c>
      <c r="D741" s="1" t="s">
        <v>28</v>
      </c>
      <c r="E741" s="10">
        <v>10</v>
      </c>
      <c r="F741" s="10">
        <v>1252</v>
      </c>
      <c r="G741" s="1" t="s">
        <v>35</v>
      </c>
      <c r="H741" s="10">
        <f t="shared" si="22"/>
        <v>12520</v>
      </c>
      <c r="I741" s="7">
        <v>10844.33940435264</v>
      </c>
      <c r="J741" s="7">
        <f t="shared" si="23"/>
        <v>1675.6605956473595</v>
      </c>
      <c r="K741" s="1">
        <f>IF(B741="North",28.6,
IF(B741="South",13,
IF(B741="East",22.6,
IF(B741="West",19,
23.5))))</f>
        <v>19</v>
      </c>
      <c r="L741" s="1">
        <f>IF(B741="North",77.2,
IF(B741="South",80.2,
IF(B741="East",88.4,
IF(B741="West",72.8,
78.9))))</f>
        <v>72.8</v>
      </c>
    </row>
    <row r="742" spans="1:12" x14ac:dyDescent="0.25">
      <c r="A742" s="5">
        <v>45390</v>
      </c>
      <c r="B742" s="1" t="s">
        <v>10</v>
      </c>
      <c r="C742" s="1" t="s">
        <v>17</v>
      </c>
      <c r="D742" s="1" t="s">
        <v>27</v>
      </c>
      <c r="E742" s="10">
        <v>4</v>
      </c>
      <c r="F742" s="10">
        <v>148</v>
      </c>
      <c r="G742" s="1" t="s">
        <v>33</v>
      </c>
      <c r="H742" s="10">
        <f t="shared" si="22"/>
        <v>592</v>
      </c>
      <c r="I742" s="7">
        <v>491.21061714053002</v>
      </c>
      <c r="J742" s="7">
        <f t="shared" si="23"/>
        <v>100.78938285946998</v>
      </c>
      <c r="K742" s="1">
        <f>IF(B742="North",28.6,
IF(B742="South",13,
IF(B742="East",22.6,
IF(B742="West",19,
23.5))))</f>
        <v>28.6</v>
      </c>
      <c r="L742" s="1">
        <f>IF(B742="North",77.2,
IF(B742="South",80.2,
IF(B742="East",88.4,
IF(B742="West",72.8,
78.9))))</f>
        <v>77.2</v>
      </c>
    </row>
    <row r="743" spans="1:12" x14ac:dyDescent="0.25">
      <c r="A743" s="5">
        <v>45602</v>
      </c>
      <c r="B743" s="1" t="s">
        <v>10</v>
      </c>
      <c r="C743" s="1" t="s">
        <v>23</v>
      </c>
      <c r="D743" s="1" t="s">
        <v>26</v>
      </c>
      <c r="E743" s="10">
        <v>18</v>
      </c>
      <c r="F743" s="10">
        <v>1799</v>
      </c>
      <c r="G743" s="1" t="s">
        <v>34</v>
      </c>
      <c r="H743" s="10">
        <f t="shared" si="22"/>
        <v>32382</v>
      </c>
      <c r="I743" s="7">
        <v>21342.40472160482</v>
      </c>
      <c r="J743" s="7">
        <f t="shared" si="23"/>
        <v>11039.59527839518</v>
      </c>
      <c r="K743" s="1">
        <f>IF(B743="North",28.6,
IF(B743="South",13,
IF(B743="East",22.6,
IF(B743="West",19,
23.5))))</f>
        <v>28.6</v>
      </c>
      <c r="L743" s="1">
        <f>IF(B743="North",77.2,
IF(B743="South",80.2,
IF(B743="East",88.4,
IF(B743="West",72.8,
78.9))))</f>
        <v>77.2</v>
      </c>
    </row>
    <row r="744" spans="1:12" x14ac:dyDescent="0.25">
      <c r="A744" s="5">
        <v>45297</v>
      </c>
      <c r="B744" s="1" t="s">
        <v>10</v>
      </c>
      <c r="C744" s="1" t="s">
        <v>21</v>
      </c>
      <c r="D744" s="1" t="s">
        <v>31</v>
      </c>
      <c r="E744" s="10">
        <v>5</v>
      </c>
      <c r="F744" s="10">
        <v>888</v>
      </c>
      <c r="G744" s="1" t="s">
        <v>35</v>
      </c>
      <c r="H744" s="10">
        <f t="shared" si="22"/>
        <v>4440</v>
      </c>
      <c r="I744" s="7">
        <v>3490.463340321387</v>
      </c>
      <c r="J744" s="7">
        <f t="shared" si="23"/>
        <v>949.53665967861298</v>
      </c>
      <c r="K744" s="1">
        <f>IF(B744="North",28.6,
IF(B744="South",13,
IF(B744="East",22.6,
IF(B744="West",19,
23.5))))</f>
        <v>28.6</v>
      </c>
      <c r="L744" s="1">
        <f>IF(B744="North",77.2,
IF(B744="South",80.2,
IF(B744="East",88.4,
IF(B744="West",72.8,
78.9))))</f>
        <v>77.2</v>
      </c>
    </row>
    <row r="745" spans="1:12" x14ac:dyDescent="0.25">
      <c r="A745" s="5">
        <v>45488</v>
      </c>
      <c r="B745" s="1" t="s">
        <v>13</v>
      </c>
      <c r="C745" s="1" t="s">
        <v>24</v>
      </c>
      <c r="D745" s="1" t="s">
        <v>28</v>
      </c>
      <c r="E745" s="10">
        <v>19</v>
      </c>
      <c r="F745" s="10">
        <v>392</v>
      </c>
      <c r="G745" s="1" t="s">
        <v>35</v>
      </c>
      <c r="H745" s="10">
        <f t="shared" si="22"/>
        <v>7448</v>
      </c>
      <c r="I745" s="7">
        <v>6244.4320277027082</v>
      </c>
      <c r="J745" s="7">
        <f t="shared" si="23"/>
        <v>1203.5679722972918</v>
      </c>
      <c r="K745" s="1">
        <f>IF(B745="North",28.6,
IF(B745="South",13,
IF(B745="East",22.6,
IF(B745="West",19,
23.5))))</f>
        <v>13</v>
      </c>
      <c r="L745" s="1">
        <f>IF(B745="North",77.2,
IF(B745="South",80.2,
IF(B745="East",88.4,
IF(B745="West",72.8,
78.9))))</f>
        <v>80.2</v>
      </c>
    </row>
    <row r="746" spans="1:12" x14ac:dyDescent="0.25">
      <c r="A746" s="5">
        <v>45642</v>
      </c>
      <c r="B746" s="1" t="s">
        <v>11</v>
      </c>
      <c r="C746" s="1" t="s">
        <v>21</v>
      </c>
      <c r="D746" s="1" t="s">
        <v>32</v>
      </c>
      <c r="E746" s="10">
        <v>2</v>
      </c>
      <c r="F746" s="10">
        <v>1751</v>
      </c>
      <c r="G746" s="1" t="s">
        <v>35</v>
      </c>
      <c r="H746" s="10">
        <f t="shared" si="22"/>
        <v>3502</v>
      </c>
      <c r="I746" s="7">
        <v>3035.8039278200281</v>
      </c>
      <c r="J746" s="7">
        <f t="shared" si="23"/>
        <v>466.19607217997191</v>
      </c>
      <c r="K746" s="1">
        <f>IF(B746="North",28.6,
IF(B746="South",13,
IF(B746="East",22.6,
IF(B746="West",19,
23.5))))</f>
        <v>19</v>
      </c>
      <c r="L746" s="1">
        <f>IF(B746="North",77.2,
IF(B746="South",80.2,
IF(B746="East",88.4,
IF(B746="West",72.8,
78.9))))</f>
        <v>72.8</v>
      </c>
    </row>
    <row r="747" spans="1:12" x14ac:dyDescent="0.25">
      <c r="A747" s="5">
        <v>45424</v>
      </c>
      <c r="B747" s="1" t="s">
        <v>11</v>
      </c>
      <c r="C747" s="1" t="s">
        <v>21</v>
      </c>
      <c r="D747" s="1" t="s">
        <v>25</v>
      </c>
      <c r="E747" s="10">
        <v>12</v>
      </c>
      <c r="F747" s="10">
        <v>635</v>
      </c>
      <c r="G747" s="1" t="s">
        <v>35</v>
      </c>
      <c r="H747" s="10">
        <f t="shared" si="22"/>
        <v>7620</v>
      </c>
      <c r="I747" s="7">
        <v>5642.5496347542876</v>
      </c>
      <c r="J747" s="7">
        <f t="shared" si="23"/>
        <v>1977.4503652457124</v>
      </c>
      <c r="K747" s="1">
        <f>IF(B747="North",28.6,
IF(B747="South",13,
IF(B747="East",22.6,
IF(B747="West",19,
23.5))))</f>
        <v>19</v>
      </c>
      <c r="L747" s="1">
        <f>IF(B747="North",77.2,
IF(B747="South",80.2,
IF(B747="East",88.4,
IF(B747="West",72.8,
78.9))))</f>
        <v>72.8</v>
      </c>
    </row>
    <row r="748" spans="1:12" x14ac:dyDescent="0.25">
      <c r="A748" s="5">
        <v>45649</v>
      </c>
      <c r="B748" s="1" t="s">
        <v>10</v>
      </c>
      <c r="C748" s="1" t="s">
        <v>40</v>
      </c>
      <c r="D748" s="1" t="s">
        <v>29</v>
      </c>
      <c r="E748" s="10">
        <v>17</v>
      </c>
      <c r="F748" s="10">
        <v>410</v>
      </c>
      <c r="G748" s="1" t="s">
        <v>33</v>
      </c>
      <c r="H748" s="10">
        <f t="shared" si="22"/>
        <v>6970</v>
      </c>
      <c r="I748" s="7">
        <v>6058.6722436459186</v>
      </c>
      <c r="J748" s="7">
        <f t="shared" si="23"/>
        <v>911.32775635408143</v>
      </c>
      <c r="K748" s="1">
        <f>IF(B748="North",28.6,
IF(B748="South",13,
IF(B748="East",22.6,
IF(B748="West",19,
23.5))))</f>
        <v>28.6</v>
      </c>
      <c r="L748" s="1">
        <f>IF(B748="North",77.2,
IF(B748="South",80.2,
IF(B748="East",88.4,
IF(B748="West",72.8,
78.9))))</f>
        <v>77.2</v>
      </c>
    </row>
    <row r="749" spans="1:12" x14ac:dyDescent="0.25">
      <c r="A749" s="5">
        <v>45550</v>
      </c>
      <c r="B749" s="1" t="s">
        <v>10</v>
      </c>
      <c r="C749" s="1" t="s">
        <v>18</v>
      </c>
      <c r="D749" s="1" t="s">
        <v>25</v>
      </c>
      <c r="E749" s="10">
        <v>10</v>
      </c>
      <c r="F749" s="10">
        <v>636</v>
      </c>
      <c r="G749" s="1" t="s">
        <v>34</v>
      </c>
      <c r="H749" s="10">
        <f t="shared" si="22"/>
        <v>6360</v>
      </c>
      <c r="I749" s="7">
        <v>4784.9779387451072</v>
      </c>
      <c r="J749" s="7">
        <f t="shared" si="23"/>
        <v>1575.0220612548928</v>
      </c>
      <c r="K749" s="1">
        <f>IF(B749="North",28.6,
IF(B749="South",13,
IF(B749="East",22.6,
IF(B749="West",19,
23.5))))</f>
        <v>28.6</v>
      </c>
      <c r="L749" s="1">
        <f>IF(B749="North",77.2,
IF(B749="South",80.2,
IF(B749="East",88.4,
IF(B749="West",72.8,
78.9))))</f>
        <v>77.2</v>
      </c>
    </row>
    <row r="750" spans="1:12" x14ac:dyDescent="0.25">
      <c r="A750" s="5">
        <v>45314</v>
      </c>
      <c r="B750" s="1" t="s">
        <v>13</v>
      </c>
      <c r="C750" s="1" t="s">
        <v>20</v>
      </c>
      <c r="D750" s="1" t="s">
        <v>28</v>
      </c>
      <c r="E750" s="10">
        <v>2</v>
      </c>
      <c r="F750" s="10">
        <v>738</v>
      </c>
      <c r="G750" s="1" t="s">
        <v>33</v>
      </c>
      <c r="H750" s="10">
        <f t="shared" si="22"/>
        <v>1476</v>
      </c>
      <c r="I750" s="7">
        <v>1190.347377076281</v>
      </c>
      <c r="J750" s="7">
        <f t="shared" si="23"/>
        <v>285.65262292371904</v>
      </c>
      <c r="K750" s="1">
        <f>IF(B750="North",28.6,
IF(B750="South",13,
IF(B750="East",22.6,
IF(B750="West",19,
23.5))))</f>
        <v>13</v>
      </c>
      <c r="L750" s="1">
        <f>IF(B750="North",77.2,
IF(B750="South",80.2,
IF(B750="East",88.4,
IF(B750="West",72.8,
78.9))))</f>
        <v>80.2</v>
      </c>
    </row>
    <row r="751" spans="1:12" x14ac:dyDescent="0.25">
      <c r="A751" s="5">
        <v>45344</v>
      </c>
      <c r="B751" s="1" t="s">
        <v>13</v>
      </c>
      <c r="C751" s="1" t="s">
        <v>17</v>
      </c>
      <c r="D751" s="1" t="s">
        <v>25</v>
      </c>
      <c r="E751" s="10">
        <v>6</v>
      </c>
      <c r="F751" s="10">
        <v>333</v>
      </c>
      <c r="G751" s="1" t="s">
        <v>33</v>
      </c>
      <c r="H751" s="10">
        <f t="shared" si="22"/>
        <v>1998</v>
      </c>
      <c r="I751" s="7">
        <v>1785.630198039428</v>
      </c>
      <c r="J751" s="7">
        <f t="shared" si="23"/>
        <v>212.36980196057198</v>
      </c>
      <c r="K751" s="1">
        <f>IF(B751="North",28.6,
IF(B751="South",13,
IF(B751="East",22.6,
IF(B751="West",19,
23.5))))</f>
        <v>13</v>
      </c>
      <c r="L751" s="1">
        <f>IF(B751="North",77.2,
IF(B751="South",80.2,
IF(B751="East",88.4,
IF(B751="West",72.8,
78.9))))</f>
        <v>80.2</v>
      </c>
    </row>
    <row r="752" spans="1:12" x14ac:dyDescent="0.25">
      <c r="A752" s="5">
        <v>45456</v>
      </c>
      <c r="B752" s="1" t="s">
        <v>13</v>
      </c>
      <c r="C752" s="1" t="s">
        <v>24</v>
      </c>
      <c r="D752" s="1" t="s">
        <v>27</v>
      </c>
      <c r="E752" s="10">
        <v>8</v>
      </c>
      <c r="F752" s="10">
        <v>-100</v>
      </c>
      <c r="G752" s="1" t="s">
        <v>35</v>
      </c>
      <c r="H752" s="10">
        <f t="shared" si="22"/>
        <v>-800</v>
      </c>
      <c r="I752" s="7">
        <v>-536.62842940668645</v>
      </c>
      <c r="J752" s="7">
        <f t="shared" si="23"/>
        <v>-263.37157059331355</v>
      </c>
      <c r="K752" s="1">
        <f>IF(B752="North",28.6,
IF(B752="South",13,
IF(B752="East",22.6,
IF(B752="West",19,
23.5))))</f>
        <v>13</v>
      </c>
      <c r="L752" s="1">
        <f>IF(B752="North",77.2,
IF(B752="South",80.2,
IF(B752="East",88.4,
IF(B752="West",72.8,
78.9))))</f>
        <v>80.2</v>
      </c>
    </row>
    <row r="753" spans="1:12" x14ac:dyDescent="0.25">
      <c r="A753" s="5">
        <v>45493</v>
      </c>
      <c r="B753" s="1" t="s">
        <v>11</v>
      </c>
      <c r="C753" s="1" t="s">
        <v>20</v>
      </c>
      <c r="D753" s="1" t="s">
        <v>27</v>
      </c>
      <c r="E753" s="10">
        <v>19</v>
      </c>
      <c r="F753" s="10">
        <v>704</v>
      </c>
      <c r="G753" s="1" t="s">
        <v>33</v>
      </c>
      <c r="H753" s="10">
        <f t="shared" si="22"/>
        <v>13376</v>
      </c>
      <c r="I753" s="7">
        <v>8701.8421766637675</v>
      </c>
      <c r="J753" s="7">
        <f t="shared" si="23"/>
        <v>4674.1578233362325</v>
      </c>
      <c r="K753" s="1">
        <f>IF(B753="North",28.6,
IF(B753="South",13,
IF(B753="East",22.6,
IF(B753="West",19,
23.5))))</f>
        <v>19</v>
      </c>
      <c r="L753" s="1">
        <f>IF(B753="North",77.2,
IF(B753="South",80.2,
IF(B753="East",88.4,
IF(B753="West",72.8,
78.9))))</f>
        <v>72.8</v>
      </c>
    </row>
    <row r="754" spans="1:12" x14ac:dyDescent="0.25">
      <c r="A754" s="5">
        <v>45374</v>
      </c>
      <c r="B754" s="1" t="s">
        <v>11</v>
      </c>
      <c r="C754" s="1" t="s">
        <v>22</v>
      </c>
      <c r="D754" s="1" t="s">
        <v>30</v>
      </c>
      <c r="E754" s="10">
        <v>11</v>
      </c>
      <c r="F754" s="10">
        <v>193</v>
      </c>
      <c r="G754" s="1" t="s">
        <v>35</v>
      </c>
      <c r="H754" s="10">
        <f t="shared" si="22"/>
        <v>2123</v>
      </c>
      <c r="I754" s="7">
        <v>1491.6317896284061</v>
      </c>
      <c r="J754" s="7">
        <f t="shared" si="23"/>
        <v>631.36821037159393</v>
      </c>
      <c r="K754" s="1">
        <f>IF(B754="North",28.6,
IF(B754="South",13,
IF(B754="East",22.6,
IF(B754="West",19,
23.5))))</f>
        <v>19</v>
      </c>
      <c r="L754" s="1">
        <f>IF(B754="North",77.2,
IF(B754="South",80.2,
IF(B754="East",88.4,
IF(B754="West",72.8,
78.9))))</f>
        <v>72.8</v>
      </c>
    </row>
    <row r="755" spans="1:12" x14ac:dyDescent="0.25">
      <c r="A755" s="5">
        <v>45436</v>
      </c>
      <c r="B755" s="1" t="s">
        <v>11</v>
      </c>
      <c r="C755" s="1" t="s">
        <v>22</v>
      </c>
      <c r="D755" s="1" t="s">
        <v>31</v>
      </c>
      <c r="E755" s="10">
        <v>12</v>
      </c>
      <c r="F755" s="10">
        <v>426</v>
      </c>
      <c r="G755" s="1" t="s">
        <v>35</v>
      </c>
      <c r="H755" s="10">
        <f t="shared" si="22"/>
        <v>5112</v>
      </c>
      <c r="I755" s="7">
        <v>3319.322341243866</v>
      </c>
      <c r="J755" s="7">
        <f t="shared" si="23"/>
        <v>1792.677658756134</v>
      </c>
      <c r="K755" s="1">
        <f>IF(B755="North",28.6,
IF(B755="South",13,
IF(B755="East",22.6,
IF(B755="West",19,
23.5))))</f>
        <v>19</v>
      </c>
      <c r="L755" s="1">
        <f>IF(B755="North",77.2,
IF(B755="South",80.2,
IF(B755="East",88.4,
IF(B755="West",72.8,
78.9))))</f>
        <v>72.8</v>
      </c>
    </row>
    <row r="756" spans="1:12" x14ac:dyDescent="0.25">
      <c r="A756" s="5">
        <v>45376</v>
      </c>
      <c r="B756" s="1" t="s">
        <v>10</v>
      </c>
      <c r="C756" s="1" t="s">
        <v>18</v>
      </c>
      <c r="D756" s="1" t="s">
        <v>30</v>
      </c>
      <c r="E756" s="10">
        <v>9</v>
      </c>
      <c r="F756" s="10">
        <v>324</v>
      </c>
      <c r="G756" s="1" t="s">
        <v>34</v>
      </c>
      <c r="H756" s="10">
        <f t="shared" si="22"/>
        <v>2916</v>
      </c>
      <c r="I756" s="7">
        <v>1998.1856224306241</v>
      </c>
      <c r="J756" s="7">
        <f t="shared" si="23"/>
        <v>917.81437756937589</v>
      </c>
      <c r="K756" s="1">
        <f>IF(B756="North",28.6,
IF(B756="South",13,
IF(B756="East",22.6,
IF(B756="West",19,
23.5))))</f>
        <v>28.6</v>
      </c>
      <c r="L756" s="1">
        <f>IF(B756="North",77.2,
IF(B756="South",80.2,
IF(B756="East",88.4,
IF(B756="West",72.8,
78.9))))</f>
        <v>77.2</v>
      </c>
    </row>
    <row r="757" spans="1:12" x14ac:dyDescent="0.25">
      <c r="A757" s="5">
        <v>45369</v>
      </c>
      <c r="B757" s="1" t="s">
        <v>11</v>
      </c>
      <c r="C757" s="1" t="s">
        <v>24</v>
      </c>
      <c r="D757" s="1" t="s">
        <v>25</v>
      </c>
      <c r="E757" s="10">
        <v>2</v>
      </c>
      <c r="F757" s="10">
        <v>1066</v>
      </c>
      <c r="G757" s="1" t="s">
        <v>35</v>
      </c>
      <c r="H757" s="10">
        <f t="shared" si="22"/>
        <v>2132</v>
      </c>
      <c r="I757" s="7">
        <v>1754.4134128278381</v>
      </c>
      <c r="J757" s="7">
        <f t="shared" si="23"/>
        <v>377.5865871721619</v>
      </c>
      <c r="K757" s="1">
        <f>IF(B757="North",28.6,
IF(B757="South",13,
IF(B757="East",22.6,
IF(B757="West",19,
23.5))))</f>
        <v>19</v>
      </c>
      <c r="L757" s="1">
        <f>IF(B757="North",77.2,
IF(B757="South",80.2,
IF(B757="East",88.4,
IF(B757="West",72.8,
78.9))))</f>
        <v>72.8</v>
      </c>
    </row>
    <row r="758" spans="1:12" x14ac:dyDescent="0.25">
      <c r="A758" s="5">
        <v>45657</v>
      </c>
      <c r="B758" s="1" t="s">
        <v>12</v>
      </c>
      <c r="C758" s="1" t="s">
        <v>17</v>
      </c>
      <c r="D758" s="1" t="s">
        <v>29</v>
      </c>
      <c r="E758" s="10">
        <v>8</v>
      </c>
      <c r="F758" s="10">
        <v>989</v>
      </c>
      <c r="G758" s="1" t="s">
        <v>33</v>
      </c>
      <c r="H758" s="10">
        <f t="shared" si="22"/>
        <v>7912</v>
      </c>
      <c r="I758" s="7">
        <v>5880.6510516627677</v>
      </c>
      <c r="J758" s="7">
        <f t="shared" si="23"/>
        <v>2031.3489483372323</v>
      </c>
      <c r="K758" s="1">
        <f>IF(B758="North",28.6,
IF(B758="South",13,
IF(B758="East",22.6,
IF(B758="West",19,
23.5))))</f>
        <v>22.6</v>
      </c>
      <c r="L758" s="1">
        <f>IF(B758="North",77.2,
IF(B758="South",80.2,
IF(B758="East",88.4,
IF(B758="West",72.8,
78.9))))</f>
        <v>88.4</v>
      </c>
    </row>
    <row r="759" spans="1:12" x14ac:dyDescent="0.25">
      <c r="A759" s="5">
        <v>45292</v>
      </c>
      <c r="B759" s="1" t="s">
        <v>12</v>
      </c>
      <c r="C759" s="1" t="s">
        <v>19</v>
      </c>
      <c r="D759" s="1" t="s">
        <v>28</v>
      </c>
      <c r="E759" s="10">
        <v>11</v>
      </c>
      <c r="F759" s="10">
        <v>1915</v>
      </c>
      <c r="G759" s="1" t="s">
        <v>35</v>
      </c>
      <c r="H759" s="10">
        <f t="shared" si="22"/>
        <v>21065</v>
      </c>
      <c r="I759" s="7">
        <v>15009.07346056053</v>
      </c>
      <c r="J759" s="7">
        <f t="shared" si="23"/>
        <v>6055.9265394394697</v>
      </c>
      <c r="K759" s="1">
        <f>IF(B759="North",28.6,
IF(B759="South",13,
IF(B759="East",22.6,
IF(B759="West",19,
23.5))))</f>
        <v>22.6</v>
      </c>
      <c r="L759" s="1">
        <f>IF(B759="North",77.2,
IF(B759="South",80.2,
IF(B759="East",88.4,
IF(B759="West",72.8,
78.9))))</f>
        <v>88.4</v>
      </c>
    </row>
    <row r="760" spans="1:12" x14ac:dyDescent="0.25">
      <c r="A760" s="5">
        <v>45342</v>
      </c>
      <c r="B760" s="1" t="s">
        <v>13</v>
      </c>
      <c r="C760" s="1" t="s">
        <v>24</v>
      </c>
      <c r="D760" s="1" t="s">
        <v>26</v>
      </c>
      <c r="E760" s="10">
        <v>4</v>
      </c>
      <c r="F760" s="10">
        <v>110</v>
      </c>
      <c r="G760" s="1" t="s">
        <v>35</v>
      </c>
      <c r="H760" s="10">
        <f t="shared" si="22"/>
        <v>440</v>
      </c>
      <c r="I760" s="7">
        <v>312.67156869640468</v>
      </c>
      <c r="J760" s="7">
        <f t="shared" si="23"/>
        <v>127.32843130359532</v>
      </c>
      <c r="K760" s="1">
        <f>IF(B760="North",28.6,
IF(B760="South",13,
IF(B760="East",22.6,
IF(B760="West",19,
23.5))))</f>
        <v>13</v>
      </c>
      <c r="L760" s="1">
        <f>IF(B760="North",77.2,
IF(B760="South",80.2,
IF(B760="East",88.4,
IF(B760="West",72.8,
78.9))))</f>
        <v>80.2</v>
      </c>
    </row>
    <row r="761" spans="1:12" x14ac:dyDescent="0.25">
      <c r="A761" s="5">
        <v>45464</v>
      </c>
      <c r="B761" s="1" t="s">
        <v>11</v>
      </c>
      <c r="C761" s="1" t="s">
        <v>23</v>
      </c>
      <c r="D761" s="1" t="s">
        <v>25</v>
      </c>
      <c r="E761" s="10">
        <v>10</v>
      </c>
      <c r="F761" s="10">
        <v>1452</v>
      </c>
      <c r="G761" s="1" t="s">
        <v>34</v>
      </c>
      <c r="H761" s="10">
        <f t="shared" si="22"/>
        <v>14520</v>
      </c>
      <c r="I761" s="7">
        <v>9559.372570664631</v>
      </c>
      <c r="J761" s="7">
        <f t="shared" si="23"/>
        <v>4960.627429335369</v>
      </c>
      <c r="K761" s="1">
        <f>IF(B761="North",28.6,
IF(B761="South",13,
IF(B761="East",22.6,
IF(B761="West",19,
23.5))))</f>
        <v>19</v>
      </c>
      <c r="L761" s="1">
        <f>IF(B761="North",77.2,
IF(B761="South",80.2,
IF(B761="East",88.4,
IF(B761="West",72.8,
78.9))))</f>
        <v>72.8</v>
      </c>
    </row>
    <row r="762" spans="1:12" x14ac:dyDescent="0.25">
      <c r="A762" s="5">
        <v>45496</v>
      </c>
      <c r="B762" s="1" t="s">
        <v>12</v>
      </c>
      <c r="C762" s="1" t="s">
        <v>20</v>
      </c>
      <c r="D762" s="1" t="s">
        <v>26</v>
      </c>
      <c r="E762" s="10">
        <v>16</v>
      </c>
      <c r="F762" s="10">
        <v>1135</v>
      </c>
      <c r="G762" s="1" t="s">
        <v>33</v>
      </c>
      <c r="H762" s="10">
        <f t="shared" si="22"/>
        <v>18160</v>
      </c>
      <c r="I762" s="7">
        <v>13333.497602955549</v>
      </c>
      <c r="J762" s="7">
        <f t="shared" si="23"/>
        <v>4826.5023970444508</v>
      </c>
      <c r="K762" s="1">
        <f>IF(B762="North",28.6,
IF(B762="South",13,
IF(B762="East",22.6,
IF(B762="West",19,
23.5))))</f>
        <v>22.6</v>
      </c>
      <c r="L762" s="1">
        <f>IF(B762="North",77.2,
IF(B762="South",80.2,
IF(B762="East",88.4,
IF(B762="West",72.8,
78.9))))</f>
        <v>88.4</v>
      </c>
    </row>
    <row r="763" spans="1:12" x14ac:dyDescent="0.25">
      <c r="A763" s="5">
        <v>45551</v>
      </c>
      <c r="B763" s="1" t="s">
        <v>13</v>
      </c>
      <c r="C763" s="1" t="s">
        <v>20</v>
      </c>
      <c r="D763" s="1" t="s">
        <v>27</v>
      </c>
      <c r="E763" s="10">
        <v>8</v>
      </c>
      <c r="F763" s="10">
        <v>134</v>
      </c>
      <c r="G763" s="1" t="s">
        <v>33</v>
      </c>
      <c r="H763" s="10">
        <f t="shared" si="22"/>
        <v>1072</v>
      </c>
      <c r="I763" s="7">
        <v>844.08279567411739</v>
      </c>
      <c r="J763" s="7">
        <f t="shared" si="23"/>
        <v>227.91720432588261</v>
      </c>
      <c r="K763" s="1">
        <f>IF(B763="North",28.6,
IF(B763="South",13,
IF(B763="East",22.6,
IF(B763="West",19,
23.5))))</f>
        <v>13</v>
      </c>
      <c r="L763" s="1">
        <f>IF(B763="North",77.2,
IF(B763="South",80.2,
IF(B763="East",88.4,
IF(B763="West",72.8,
78.9))))</f>
        <v>80.2</v>
      </c>
    </row>
    <row r="764" spans="1:12" x14ac:dyDescent="0.25">
      <c r="A764" s="5">
        <v>45579</v>
      </c>
      <c r="B764" s="1" t="s">
        <v>11</v>
      </c>
      <c r="C764" s="1" t="s">
        <v>21</v>
      </c>
      <c r="D764" s="1" t="s">
        <v>26</v>
      </c>
      <c r="E764" s="10">
        <v>4</v>
      </c>
      <c r="F764" s="10">
        <v>546</v>
      </c>
      <c r="G764" s="1" t="s">
        <v>35</v>
      </c>
      <c r="H764" s="10">
        <f t="shared" si="22"/>
        <v>2184</v>
      </c>
      <c r="I764" s="7">
        <v>1401.57424757634</v>
      </c>
      <c r="J764" s="7">
        <f t="shared" si="23"/>
        <v>782.42575242366001</v>
      </c>
      <c r="K764" s="1">
        <f>IF(B764="North",28.6,
IF(B764="South",13,
IF(B764="East",22.6,
IF(B764="West",19,
23.5))))</f>
        <v>19</v>
      </c>
      <c r="L764" s="1">
        <f>IF(B764="North",77.2,
IF(B764="South",80.2,
IF(B764="East",88.4,
IF(B764="West",72.8,
78.9))))</f>
        <v>72.8</v>
      </c>
    </row>
    <row r="765" spans="1:12" x14ac:dyDescent="0.25">
      <c r="A765" s="5">
        <v>45325</v>
      </c>
      <c r="B765" s="1" t="s">
        <v>10</v>
      </c>
      <c r="C765" s="1" t="s">
        <v>22</v>
      </c>
      <c r="D765" s="1" t="s">
        <v>26</v>
      </c>
      <c r="E765" s="10">
        <v>10</v>
      </c>
      <c r="F765" s="10">
        <v>1575</v>
      </c>
      <c r="G765" s="1" t="s">
        <v>35</v>
      </c>
      <c r="H765" s="10">
        <f t="shared" si="22"/>
        <v>15750</v>
      </c>
      <c r="I765" s="7">
        <v>14046.54077044676</v>
      </c>
      <c r="J765" s="7">
        <f t="shared" si="23"/>
        <v>1703.4592295532402</v>
      </c>
      <c r="K765" s="1">
        <f>IF(B765="North",28.6,
IF(B765="South",13,
IF(B765="East",22.6,
IF(B765="West",19,
23.5))))</f>
        <v>28.6</v>
      </c>
      <c r="L765" s="1">
        <f>IF(B765="North",77.2,
IF(B765="South",80.2,
IF(B765="East",88.4,
IF(B765="West",72.8,
78.9))))</f>
        <v>77.2</v>
      </c>
    </row>
    <row r="766" spans="1:12" x14ac:dyDescent="0.25">
      <c r="A766" s="5">
        <v>45639</v>
      </c>
      <c r="B766" s="1" t="s">
        <v>12</v>
      </c>
      <c r="C766" s="1" t="s">
        <v>18</v>
      </c>
      <c r="D766" s="1" t="s">
        <v>29</v>
      </c>
      <c r="E766" s="10">
        <v>12</v>
      </c>
      <c r="F766" s="10">
        <v>1863</v>
      </c>
      <c r="G766" s="1" t="s">
        <v>34</v>
      </c>
      <c r="H766" s="10">
        <f t="shared" si="22"/>
        <v>22356</v>
      </c>
      <c r="I766" s="7">
        <v>16386.598194058821</v>
      </c>
      <c r="J766" s="7">
        <f t="shared" si="23"/>
        <v>5969.4018059411792</v>
      </c>
      <c r="K766" s="1">
        <f>IF(B766="North",28.6,
IF(B766="South",13,
IF(B766="East",22.6,
IF(B766="West",19,
23.5))))</f>
        <v>22.6</v>
      </c>
      <c r="L766" s="1">
        <f>IF(B766="North",77.2,
IF(B766="South",80.2,
IF(B766="East",88.4,
IF(B766="West",72.8,
78.9))))</f>
        <v>88.4</v>
      </c>
    </row>
    <row r="767" spans="1:12" x14ac:dyDescent="0.25">
      <c r="A767" s="5">
        <v>45386</v>
      </c>
      <c r="B767" s="1" t="s">
        <v>10</v>
      </c>
      <c r="C767" s="1" t="s">
        <v>20</v>
      </c>
      <c r="D767" s="1" t="s">
        <v>26</v>
      </c>
      <c r="E767" s="10">
        <v>14</v>
      </c>
      <c r="F767" s="10">
        <v>1073.5</v>
      </c>
      <c r="G767" s="1" t="s">
        <v>33</v>
      </c>
      <c r="H767" s="10">
        <f t="shared" si="22"/>
        <v>15029</v>
      </c>
      <c r="I767" s="7">
        <f>H767*0.7</f>
        <v>10520.3</v>
      </c>
      <c r="J767" s="7">
        <f t="shared" si="23"/>
        <v>4508.7000000000007</v>
      </c>
      <c r="K767" s="1">
        <f>IF(B767="North",28.6,
IF(B767="South",13,
IF(B767="East",22.6,
IF(B767="West",19,
23.5))))</f>
        <v>28.6</v>
      </c>
      <c r="L767" s="1">
        <f>IF(B767="North",77.2,
IF(B767="South",80.2,
IF(B767="East",88.4,
IF(B767="West",72.8,
78.9))))</f>
        <v>77.2</v>
      </c>
    </row>
    <row r="768" spans="1:12" x14ac:dyDescent="0.25">
      <c r="A768" s="5">
        <v>45363</v>
      </c>
      <c r="B768" s="1" t="s">
        <v>11</v>
      </c>
      <c r="C768" s="1" t="s">
        <v>24</v>
      </c>
      <c r="D768" s="1" t="s">
        <v>25</v>
      </c>
      <c r="E768" s="10">
        <v>16</v>
      </c>
      <c r="F768" s="10">
        <v>540</v>
      </c>
      <c r="G768" s="1" t="s">
        <v>35</v>
      </c>
      <c r="H768" s="10">
        <f t="shared" si="22"/>
        <v>8640</v>
      </c>
      <c r="I768" s="7">
        <v>5533.0359378098883</v>
      </c>
      <c r="J768" s="7">
        <f t="shared" si="23"/>
        <v>3106.9640621901117</v>
      </c>
      <c r="K768" s="1">
        <f>IF(B768="North",28.6,
IF(B768="South",13,
IF(B768="East",22.6,
IF(B768="West",19,
23.5))))</f>
        <v>19</v>
      </c>
      <c r="L768" s="1">
        <f>IF(B768="North",77.2,
IF(B768="South",80.2,
IF(B768="East",88.4,
IF(B768="West",72.8,
78.9))))</f>
        <v>72.8</v>
      </c>
    </row>
    <row r="769" spans="1:12" x14ac:dyDescent="0.25">
      <c r="A769" s="5">
        <v>45330</v>
      </c>
      <c r="B769" s="1" t="s">
        <v>12</v>
      </c>
      <c r="C769" s="1" t="s">
        <v>20</v>
      </c>
      <c r="D769" s="1" t="s">
        <v>28</v>
      </c>
      <c r="E769" s="10">
        <v>18</v>
      </c>
      <c r="F769" s="10">
        <v>752</v>
      </c>
      <c r="G769" s="1" t="s">
        <v>33</v>
      </c>
      <c r="H769" s="10">
        <f t="shared" si="22"/>
        <v>13536</v>
      </c>
      <c r="I769" s="7">
        <v>11237.110542643621</v>
      </c>
      <c r="J769" s="7">
        <f t="shared" si="23"/>
        <v>2298.8894573563794</v>
      </c>
      <c r="K769" s="1">
        <f>IF(B769="North",28.6,
IF(B769="South",13,
IF(B769="East",22.6,
IF(B769="West",19,
23.5))))</f>
        <v>22.6</v>
      </c>
      <c r="L769" s="1">
        <f>IF(B769="North",77.2,
IF(B769="South",80.2,
IF(B769="East",88.4,
IF(B769="West",72.8,
78.9))))</f>
        <v>88.4</v>
      </c>
    </row>
    <row r="770" spans="1:12" x14ac:dyDescent="0.25">
      <c r="A770" s="5">
        <v>45445</v>
      </c>
      <c r="B770" s="1" t="s">
        <v>11</v>
      </c>
      <c r="C770" s="1" t="s">
        <v>18</v>
      </c>
      <c r="D770" s="1" t="s">
        <v>26</v>
      </c>
      <c r="E770" s="10">
        <v>12</v>
      </c>
      <c r="F770" s="10">
        <v>1658</v>
      </c>
      <c r="G770" s="1" t="s">
        <v>34</v>
      </c>
      <c r="H770" s="10">
        <f t="shared" si="22"/>
        <v>19896</v>
      </c>
      <c r="I770" s="7">
        <v>15624.15799608431</v>
      </c>
      <c r="J770" s="7">
        <f t="shared" si="23"/>
        <v>4271.8420039156899</v>
      </c>
      <c r="K770" s="1">
        <f>IF(B770="North",28.6,
IF(B770="South",13,
IF(B770="East",22.6,
IF(B770="West",19,
23.5))))</f>
        <v>19</v>
      </c>
      <c r="L770" s="1">
        <f>IF(B770="North",77.2,
IF(B770="South",80.2,
IF(B770="East",88.4,
IF(B770="West",72.8,
78.9))))</f>
        <v>72.8</v>
      </c>
    </row>
    <row r="771" spans="1:12" x14ac:dyDescent="0.25">
      <c r="A771" s="5">
        <v>45541</v>
      </c>
      <c r="B771" s="1" t="s">
        <v>10</v>
      </c>
      <c r="C771" s="1" t="s">
        <v>18</v>
      </c>
      <c r="D771" s="1" t="s">
        <v>32</v>
      </c>
      <c r="E771" s="10">
        <v>18</v>
      </c>
      <c r="F771" s="10">
        <v>694</v>
      </c>
      <c r="G771" s="1" t="s">
        <v>34</v>
      </c>
      <c r="H771" s="10">
        <f t="shared" ref="H771:H834" si="24">E771*F771</f>
        <v>12492</v>
      </c>
      <c r="I771" s="7">
        <v>10568.472294400741</v>
      </c>
      <c r="J771" s="7">
        <f t="shared" ref="J771:J834" si="25">H771-I771</f>
        <v>1923.5277055992592</v>
      </c>
      <c r="K771" s="1">
        <f>IF(B771="North",28.6,
IF(B771="South",13,
IF(B771="East",22.6,
IF(B771="West",19,
23.5))))</f>
        <v>28.6</v>
      </c>
      <c r="L771" s="1">
        <f>IF(B771="North",77.2,
IF(B771="South",80.2,
IF(B771="East",88.4,
IF(B771="West",72.8,
78.9))))</f>
        <v>77.2</v>
      </c>
    </row>
    <row r="772" spans="1:12" x14ac:dyDescent="0.25">
      <c r="A772" s="5">
        <v>45453</v>
      </c>
      <c r="B772" s="1" t="s">
        <v>12</v>
      </c>
      <c r="C772" s="1" t="s">
        <v>18</v>
      </c>
      <c r="D772" s="1" t="s">
        <v>26</v>
      </c>
      <c r="E772" s="10">
        <v>7</v>
      </c>
      <c r="F772" s="10">
        <v>328</v>
      </c>
      <c r="G772" s="1" t="s">
        <v>34</v>
      </c>
      <c r="H772" s="10">
        <f t="shared" si="24"/>
        <v>2296</v>
      </c>
      <c r="I772" s="7">
        <v>1791.3469533315449</v>
      </c>
      <c r="J772" s="7">
        <f t="shared" si="25"/>
        <v>504.65304666845509</v>
      </c>
      <c r="K772" s="1">
        <f>IF(B772="North",28.6,
IF(B772="South",13,
IF(B772="East",22.6,
IF(B772="West",19,
23.5))))</f>
        <v>22.6</v>
      </c>
      <c r="L772" s="1">
        <f>IF(B772="North",77.2,
IF(B772="South",80.2,
IF(B772="East",88.4,
IF(B772="West",72.8,
78.9))))</f>
        <v>88.4</v>
      </c>
    </row>
    <row r="773" spans="1:12" x14ac:dyDescent="0.25">
      <c r="A773" s="5">
        <v>45409</v>
      </c>
      <c r="B773" s="1" t="s">
        <v>10</v>
      </c>
      <c r="C773" s="1" t="s">
        <v>24</v>
      </c>
      <c r="D773" s="1" t="s">
        <v>26</v>
      </c>
      <c r="E773" s="10">
        <v>7</v>
      </c>
      <c r="F773" s="10">
        <v>443</v>
      </c>
      <c r="G773" s="1" t="s">
        <v>35</v>
      </c>
      <c r="H773" s="10">
        <f t="shared" si="24"/>
        <v>3101</v>
      </c>
      <c r="I773" s="7">
        <v>2756.3269199057831</v>
      </c>
      <c r="J773" s="7">
        <f t="shared" si="25"/>
        <v>344.67308009421686</v>
      </c>
      <c r="K773" s="1">
        <f>IF(B773="North",28.6,
IF(B773="South",13,
IF(B773="East",22.6,
IF(B773="West",19,
23.5))))</f>
        <v>28.6</v>
      </c>
      <c r="L773" s="1">
        <f>IF(B773="North",77.2,
IF(B773="South",80.2,
IF(B773="East",88.4,
IF(B773="West",72.8,
78.9))))</f>
        <v>77.2</v>
      </c>
    </row>
    <row r="774" spans="1:12" x14ac:dyDescent="0.25">
      <c r="A774" s="5">
        <v>45550</v>
      </c>
      <c r="B774" s="1" t="s">
        <v>11</v>
      </c>
      <c r="C774" s="1" t="s">
        <v>19</v>
      </c>
      <c r="D774" s="1" t="s">
        <v>30</v>
      </c>
      <c r="E774" s="10">
        <v>9</v>
      </c>
      <c r="F774" s="10">
        <v>1203</v>
      </c>
      <c r="G774" s="1" t="s">
        <v>35</v>
      </c>
      <c r="H774" s="10">
        <f t="shared" si="24"/>
        <v>10827</v>
      </c>
      <c r="I774" s="7">
        <v>8532.5372800432706</v>
      </c>
      <c r="J774" s="7">
        <f t="shared" si="25"/>
        <v>2294.4627199567294</v>
      </c>
      <c r="K774" s="1">
        <f>IF(B774="North",28.6,
IF(B774="South",13,
IF(B774="East",22.6,
IF(B774="West",19,
23.5))))</f>
        <v>19</v>
      </c>
      <c r="L774" s="1">
        <f>IF(B774="North",77.2,
IF(B774="South",80.2,
IF(B774="East",88.4,
IF(B774="West",72.8,
78.9))))</f>
        <v>72.8</v>
      </c>
    </row>
    <row r="775" spans="1:12" x14ac:dyDescent="0.25">
      <c r="A775" s="5">
        <v>45597</v>
      </c>
      <c r="B775" s="1" t="s">
        <v>11</v>
      </c>
      <c r="C775" s="1" t="s">
        <v>21</v>
      </c>
      <c r="D775" s="1" t="s">
        <v>28</v>
      </c>
      <c r="E775" s="10">
        <v>1</v>
      </c>
      <c r="F775" s="10">
        <v>1476</v>
      </c>
      <c r="G775" s="1" t="s">
        <v>35</v>
      </c>
      <c r="H775" s="10">
        <f t="shared" si="24"/>
        <v>1476</v>
      </c>
      <c r="I775" s="7">
        <v>1233.022706702531</v>
      </c>
      <c r="J775" s="7">
        <f t="shared" si="25"/>
        <v>242.97729329746903</v>
      </c>
      <c r="K775" s="1">
        <f>IF(B775="North",28.6,
IF(B775="South",13,
IF(B775="East",22.6,
IF(B775="West",19,
23.5))))</f>
        <v>19</v>
      </c>
      <c r="L775" s="1">
        <f>IF(B775="North",77.2,
IF(B775="South",80.2,
IF(B775="East",88.4,
IF(B775="West",72.8,
78.9))))</f>
        <v>72.8</v>
      </c>
    </row>
    <row r="776" spans="1:12" x14ac:dyDescent="0.25">
      <c r="A776" s="5">
        <v>45559</v>
      </c>
      <c r="B776" s="1" t="s">
        <v>10</v>
      </c>
      <c r="C776" s="1" t="s">
        <v>22</v>
      </c>
      <c r="D776" s="1" t="s">
        <v>25</v>
      </c>
      <c r="E776" s="10">
        <v>6</v>
      </c>
      <c r="F776" s="10">
        <v>1519</v>
      </c>
      <c r="G776" s="1" t="s">
        <v>35</v>
      </c>
      <c r="H776" s="10">
        <f t="shared" si="24"/>
        <v>9114</v>
      </c>
      <c r="I776" s="7">
        <v>7867.8840824607332</v>
      </c>
      <c r="J776" s="7">
        <f t="shared" si="25"/>
        <v>1246.1159175392668</v>
      </c>
      <c r="K776" s="1">
        <f>IF(B776="North",28.6,
IF(B776="South",13,
IF(B776="East",22.6,
IF(B776="West",19,
23.5))))</f>
        <v>28.6</v>
      </c>
      <c r="L776" s="1">
        <f>IF(B776="North",77.2,
IF(B776="South",80.2,
IF(B776="East",88.4,
IF(B776="West",72.8,
78.9))))</f>
        <v>77.2</v>
      </c>
    </row>
    <row r="777" spans="1:12" x14ac:dyDescent="0.25">
      <c r="A777" s="5">
        <v>45345</v>
      </c>
      <c r="B777" s="1" t="s">
        <v>12</v>
      </c>
      <c r="C777" s="1" t="s">
        <v>20</v>
      </c>
      <c r="D777" s="1" t="s">
        <v>27</v>
      </c>
      <c r="E777" s="10">
        <v>6</v>
      </c>
      <c r="F777" s="10">
        <v>1413</v>
      </c>
      <c r="G777" s="1" t="s">
        <v>33</v>
      </c>
      <c r="H777" s="10">
        <f t="shared" si="24"/>
        <v>8478</v>
      </c>
      <c r="I777" s="7">
        <v>6904.271600676685</v>
      </c>
      <c r="J777" s="7">
        <f t="shared" si="25"/>
        <v>1573.728399323315</v>
      </c>
      <c r="K777" s="1">
        <f>IF(B777="North",28.6,
IF(B777="South",13,
IF(B777="East",22.6,
IF(B777="West",19,
23.5))))</f>
        <v>22.6</v>
      </c>
      <c r="L777" s="1">
        <f>IF(B777="North",77.2,
IF(B777="South",80.2,
IF(B777="East",88.4,
IF(B777="West",72.8,
78.9))))</f>
        <v>88.4</v>
      </c>
    </row>
    <row r="778" spans="1:12" x14ac:dyDescent="0.25">
      <c r="A778" s="5">
        <v>45527</v>
      </c>
      <c r="B778" s="1" t="s">
        <v>10</v>
      </c>
      <c r="C778" s="1" t="s">
        <v>24</v>
      </c>
      <c r="D778" s="1" t="s">
        <v>30</v>
      </c>
      <c r="E778" s="10">
        <v>12</v>
      </c>
      <c r="F778" s="10">
        <v>1578</v>
      </c>
      <c r="G778" s="1" t="s">
        <v>35</v>
      </c>
      <c r="H778" s="10">
        <f t="shared" si="24"/>
        <v>18936</v>
      </c>
      <c r="I778" s="7">
        <v>14339.683598604001</v>
      </c>
      <c r="J778" s="7">
        <f t="shared" si="25"/>
        <v>4596.3164013959995</v>
      </c>
      <c r="K778" s="1">
        <f>IF(B778="North",28.6,
IF(B778="South",13,
IF(B778="East",22.6,
IF(B778="West",19,
23.5))))</f>
        <v>28.6</v>
      </c>
      <c r="L778" s="1">
        <f>IF(B778="North",77.2,
IF(B778="South",80.2,
IF(B778="East",88.4,
IF(B778="West",72.8,
78.9))))</f>
        <v>77.2</v>
      </c>
    </row>
    <row r="779" spans="1:12" x14ac:dyDescent="0.25">
      <c r="A779" s="5">
        <v>45513</v>
      </c>
      <c r="B779" s="1" t="s">
        <v>11</v>
      </c>
      <c r="C779" s="1" t="s">
        <v>17</v>
      </c>
      <c r="D779" s="1" t="s">
        <v>25</v>
      </c>
      <c r="E779" s="10">
        <v>12</v>
      </c>
      <c r="F779" s="10">
        <v>1966</v>
      </c>
      <c r="G779" s="1" t="s">
        <v>33</v>
      </c>
      <c r="H779" s="10">
        <f t="shared" si="24"/>
        <v>23592</v>
      </c>
      <c r="I779" s="7">
        <v>16086.090156655981</v>
      </c>
      <c r="J779" s="7">
        <f t="shared" si="25"/>
        <v>7505.9098433440195</v>
      </c>
      <c r="K779" s="1">
        <f>IF(B779="North",28.6,
IF(B779="South",13,
IF(B779="East",22.6,
IF(B779="West",19,
23.5))))</f>
        <v>19</v>
      </c>
      <c r="L779" s="1">
        <f>IF(B779="North",77.2,
IF(B779="South",80.2,
IF(B779="East",88.4,
IF(B779="West",72.8,
78.9))))</f>
        <v>72.8</v>
      </c>
    </row>
    <row r="780" spans="1:12" x14ac:dyDescent="0.25">
      <c r="A780" s="5">
        <v>45542</v>
      </c>
      <c r="B780" s="1" t="s">
        <v>14</v>
      </c>
      <c r="C780" s="1" t="s">
        <v>22</v>
      </c>
      <c r="D780" s="1" t="s">
        <v>31</v>
      </c>
      <c r="E780" s="10">
        <v>10</v>
      </c>
      <c r="F780" s="10">
        <v>1794</v>
      </c>
      <c r="G780" s="1" t="s">
        <v>35</v>
      </c>
      <c r="H780" s="10">
        <f t="shared" si="24"/>
        <v>17940</v>
      </c>
      <c r="I780" s="7">
        <v>15362.879245295489</v>
      </c>
      <c r="J780" s="7">
        <f t="shared" si="25"/>
        <v>2577.1207547045105</v>
      </c>
      <c r="K780" s="1">
        <f>IF(B780="North",28.6,
IF(B780="South",13,
IF(B780="East",22.6,
IF(B780="West",19,
23.5))))</f>
        <v>13</v>
      </c>
      <c r="L780" s="1">
        <f>IF(B780="North",77.2,
IF(B780="South",80.2,
IF(B780="East",88.4,
IF(B780="West",72.8,
78.9))))</f>
        <v>80.2</v>
      </c>
    </row>
    <row r="781" spans="1:12" x14ac:dyDescent="0.25">
      <c r="A781" s="5">
        <v>45604</v>
      </c>
      <c r="B781" s="1" t="s">
        <v>11</v>
      </c>
      <c r="C781" s="1" t="s">
        <v>19</v>
      </c>
      <c r="D781" s="1" t="s">
        <v>28</v>
      </c>
      <c r="E781" s="10">
        <v>6</v>
      </c>
      <c r="F781" s="10">
        <v>1088</v>
      </c>
      <c r="G781" s="1" t="s">
        <v>35</v>
      </c>
      <c r="H781" s="10">
        <f t="shared" si="24"/>
        <v>6528</v>
      </c>
      <c r="I781" s="7">
        <v>4857.9644500655077</v>
      </c>
      <c r="J781" s="7">
        <f t="shared" si="25"/>
        <v>1670.0355499344923</v>
      </c>
      <c r="K781" s="1">
        <f>IF(B781="North",28.6,
IF(B781="South",13,
IF(B781="East",22.6,
IF(B781="West",19,
23.5))))</f>
        <v>19</v>
      </c>
      <c r="L781" s="1">
        <f>IF(B781="North",77.2,
IF(B781="South",80.2,
IF(B781="East",88.4,
IF(B781="West",72.8,
78.9))))</f>
        <v>72.8</v>
      </c>
    </row>
    <row r="782" spans="1:12" x14ac:dyDescent="0.25">
      <c r="A782" s="5">
        <v>45403</v>
      </c>
      <c r="B782" s="1" t="s">
        <v>10</v>
      </c>
      <c r="C782" s="1" t="s">
        <v>24</v>
      </c>
      <c r="D782" s="1" t="s">
        <v>32</v>
      </c>
      <c r="E782" s="10">
        <v>17</v>
      </c>
      <c r="F782" s="10">
        <v>1251</v>
      </c>
      <c r="G782" s="1" t="s">
        <v>35</v>
      </c>
      <c r="H782" s="10">
        <f t="shared" si="24"/>
        <v>21267</v>
      </c>
      <c r="I782" s="7">
        <v>16720.380554840311</v>
      </c>
      <c r="J782" s="7">
        <f t="shared" si="25"/>
        <v>4546.6194451596893</v>
      </c>
      <c r="K782" s="1">
        <f>IF(B782="North",28.6,
IF(B782="South",13,
IF(B782="East",22.6,
IF(B782="West",19,
23.5))))</f>
        <v>28.6</v>
      </c>
      <c r="L782" s="1">
        <f>IF(B782="North",77.2,
IF(B782="South",80.2,
IF(B782="East",88.4,
IF(B782="West",72.8,
78.9))))</f>
        <v>77.2</v>
      </c>
    </row>
    <row r="783" spans="1:12" x14ac:dyDescent="0.25">
      <c r="A783" s="5">
        <v>45546</v>
      </c>
      <c r="B783" s="1" t="s">
        <v>12</v>
      </c>
      <c r="C783" s="1" t="s">
        <v>23</v>
      </c>
      <c r="D783" s="1" t="s">
        <v>28</v>
      </c>
      <c r="E783" s="10">
        <v>19</v>
      </c>
      <c r="F783" s="10">
        <v>1825</v>
      </c>
      <c r="G783" s="1" t="s">
        <v>34</v>
      </c>
      <c r="H783" s="10">
        <f t="shared" si="24"/>
        <v>34675</v>
      </c>
      <c r="I783" s="7">
        <v>21629.154060306271</v>
      </c>
      <c r="J783" s="7">
        <f t="shared" si="25"/>
        <v>13045.845939693729</v>
      </c>
      <c r="K783" s="1">
        <f>IF(B783="North",28.6,
IF(B783="South",13,
IF(B783="East",22.6,
IF(B783="West",19,
23.5))))</f>
        <v>22.6</v>
      </c>
      <c r="L783" s="1">
        <f>IF(B783="North",77.2,
IF(B783="South",80.2,
IF(B783="East",88.4,
IF(B783="West",72.8,
78.9))))</f>
        <v>88.4</v>
      </c>
    </row>
    <row r="784" spans="1:12" x14ac:dyDescent="0.25">
      <c r="A784" s="5">
        <v>45594</v>
      </c>
      <c r="B784" s="1" t="s">
        <v>12</v>
      </c>
      <c r="C784" s="1" t="s">
        <v>23</v>
      </c>
      <c r="D784" s="1" t="s">
        <v>31</v>
      </c>
      <c r="E784" s="10">
        <v>18</v>
      </c>
      <c r="F784" s="10">
        <v>1008</v>
      </c>
      <c r="G784" s="1" t="s">
        <v>34</v>
      </c>
      <c r="H784" s="10">
        <f t="shared" si="24"/>
        <v>18144</v>
      </c>
      <c r="I784" s="7">
        <v>13593.58272204407</v>
      </c>
      <c r="J784" s="7">
        <f t="shared" si="25"/>
        <v>4550.4172779559303</v>
      </c>
      <c r="K784" s="1">
        <f>IF(B784="North",28.6,
IF(B784="South",13,
IF(B784="East",22.6,
IF(B784="West",19,
23.5))))</f>
        <v>22.6</v>
      </c>
      <c r="L784" s="1">
        <f>IF(B784="North",77.2,
IF(B784="South",80.2,
IF(B784="East",88.4,
IF(B784="West",72.8,
78.9))))</f>
        <v>88.4</v>
      </c>
    </row>
    <row r="785" spans="1:12" x14ac:dyDescent="0.25">
      <c r="A785" s="5">
        <v>45498</v>
      </c>
      <c r="B785" s="1" t="s">
        <v>10</v>
      </c>
      <c r="C785" s="1" t="s">
        <v>21</v>
      </c>
      <c r="D785" s="1" t="s">
        <v>31</v>
      </c>
      <c r="E785" s="10">
        <v>6</v>
      </c>
      <c r="F785" s="10">
        <v>1666</v>
      </c>
      <c r="G785" s="1" t="s">
        <v>35</v>
      </c>
      <c r="H785" s="10">
        <f t="shared" si="24"/>
        <v>9996</v>
      </c>
      <c r="I785" s="7">
        <v>8091.2351428867114</v>
      </c>
      <c r="J785" s="7">
        <f t="shared" si="25"/>
        <v>1904.7648571132886</v>
      </c>
      <c r="K785" s="1">
        <f>IF(B785="North",28.6,
IF(B785="South",13,
IF(B785="East",22.6,
IF(B785="West",19,
23.5))))</f>
        <v>28.6</v>
      </c>
      <c r="L785" s="1">
        <f>IF(B785="North",77.2,
IF(B785="South",80.2,
IF(B785="East",88.4,
IF(B785="West",72.8,
78.9))))</f>
        <v>77.2</v>
      </c>
    </row>
    <row r="786" spans="1:12" x14ac:dyDescent="0.25">
      <c r="A786" s="5">
        <v>45520</v>
      </c>
      <c r="B786" s="1" t="s">
        <v>10</v>
      </c>
      <c r="C786" s="1" t="s">
        <v>21</v>
      </c>
      <c r="D786" s="1" t="s">
        <v>31</v>
      </c>
      <c r="E786" s="10">
        <v>19</v>
      </c>
      <c r="F786" s="10">
        <v>1482</v>
      </c>
      <c r="G786" s="1" t="s">
        <v>35</v>
      </c>
      <c r="H786" s="10">
        <f t="shared" si="24"/>
        <v>28158</v>
      </c>
      <c r="I786" s="7">
        <v>21828.689051974528</v>
      </c>
      <c r="J786" s="7">
        <f t="shared" si="25"/>
        <v>6329.3109480254716</v>
      </c>
      <c r="K786" s="1">
        <f>IF(B786="North",28.6,
IF(B786="South",13,
IF(B786="East",22.6,
IF(B786="West",19,
23.5))))</f>
        <v>28.6</v>
      </c>
      <c r="L786" s="1">
        <f>IF(B786="North",77.2,
IF(B786="South",80.2,
IF(B786="East",88.4,
IF(B786="West",72.8,
78.9))))</f>
        <v>77.2</v>
      </c>
    </row>
    <row r="787" spans="1:12" x14ac:dyDescent="0.25">
      <c r="A787" s="5">
        <v>45632</v>
      </c>
      <c r="B787" s="1" t="s">
        <v>12</v>
      </c>
      <c r="C787" s="1" t="s">
        <v>19</v>
      </c>
      <c r="D787" s="1" t="s">
        <v>29</v>
      </c>
      <c r="E787" s="10">
        <v>10</v>
      </c>
      <c r="F787" s="10">
        <v>626</v>
      </c>
      <c r="G787" s="1" t="s">
        <v>35</v>
      </c>
      <c r="H787" s="10">
        <f t="shared" si="24"/>
        <v>6260</v>
      </c>
      <c r="I787" s="7">
        <v>4598.3860196538344</v>
      </c>
      <c r="J787" s="7">
        <f t="shared" si="25"/>
        <v>1661.6139803461656</v>
      </c>
      <c r="K787" s="1">
        <f>IF(B787="North",28.6,
IF(B787="South",13,
IF(B787="East",22.6,
IF(B787="West",19,
23.5))))</f>
        <v>22.6</v>
      </c>
      <c r="L787" s="1">
        <f>IF(B787="North",77.2,
IF(B787="South",80.2,
IF(B787="East",88.4,
IF(B787="West",72.8,
78.9))))</f>
        <v>88.4</v>
      </c>
    </row>
    <row r="788" spans="1:12" x14ac:dyDescent="0.25">
      <c r="A788" s="5">
        <v>45357</v>
      </c>
      <c r="B788" s="1" t="s">
        <v>11</v>
      </c>
      <c r="C788" s="1" t="s">
        <v>19</v>
      </c>
      <c r="D788" s="1" t="s">
        <v>27</v>
      </c>
      <c r="E788" s="10">
        <v>8</v>
      </c>
      <c r="F788" s="10">
        <v>1436</v>
      </c>
      <c r="G788" s="1" t="s">
        <v>35</v>
      </c>
      <c r="H788" s="10">
        <f t="shared" si="24"/>
        <v>11488</v>
      </c>
      <c r="I788" s="7">
        <v>7662.8199044460598</v>
      </c>
      <c r="J788" s="7">
        <f t="shared" si="25"/>
        <v>3825.1800955539402</v>
      </c>
      <c r="K788" s="1">
        <f>IF(B788="North",28.6,
IF(B788="South",13,
IF(B788="East",22.6,
IF(B788="West",19,
23.5))))</f>
        <v>19</v>
      </c>
      <c r="L788" s="1">
        <f>IF(B788="North",77.2,
IF(B788="South",80.2,
IF(B788="East",88.4,
IF(B788="West",72.8,
78.9))))</f>
        <v>72.8</v>
      </c>
    </row>
    <row r="789" spans="1:12" x14ac:dyDescent="0.25">
      <c r="A789" s="5">
        <v>45366</v>
      </c>
      <c r="B789" s="1" t="s">
        <v>12</v>
      </c>
      <c r="C789" s="1" t="s">
        <v>21</v>
      </c>
      <c r="D789" s="1" t="s">
        <v>26</v>
      </c>
      <c r="E789" s="10">
        <v>10</v>
      </c>
      <c r="F789" s="10">
        <v>174</v>
      </c>
      <c r="G789" s="1" t="s">
        <v>35</v>
      </c>
      <c r="H789" s="10">
        <f t="shared" si="24"/>
        <v>1740</v>
      </c>
      <c r="I789" s="7">
        <f>H789*0.7</f>
        <v>1218</v>
      </c>
      <c r="J789" s="7">
        <f t="shared" si="25"/>
        <v>522</v>
      </c>
      <c r="K789" s="1">
        <f>IF(B789="North",28.6,
IF(B789="South",13,
IF(B789="East",22.6,
IF(B789="West",19,
23.5))))</f>
        <v>22.6</v>
      </c>
      <c r="L789" s="1">
        <f>IF(B789="North",77.2,
IF(B789="South",80.2,
IF(B789="East",88.4,
IF(B789="West",72.8,
78.9))))</f>
        <v>88.4</v>
      </c>
    </row>
    <row r="790" spans="1:12" x14ac:dyDescent="0.25">
      <c r="A790" s="5">
        <v>45394</v>
      </c>
      <c r="B790" s="1" t="s">
        <v>11</v>
      </c>
      <c r="C790" s="1" t="s">
        <v>20</v>
      </c>
      <c r="D790" s="1" t="s">
        <v>28</v>
      </c>
      <c r="E790" s="10">
        <v>7</v>
      </c>
      <c r="F790" s="10">
        <v>1669</v>
      </c>
      <c r="G790" s="1" t="s">
        <v>33</v>
      </c>
      <c r="H790" s="10">
        <f t="shared" si="24"/>
        <v>11683</v>
      </c>
      <c r="I790" s="7">
        <v>9465.4183129230478</v>
      </c>
      <c r="J790" s="7">
        <f t="shared" si="25"/>
        <v>2217.5816870769522</v>
      </c>
      <c r="K790" s="1">
        <f>IF(B790="North",28.6,
IF(B790="South",13,
IF(B790="East",22.6,
IF(B790="West",19,
23.5))))</f>
        <v>19</v>
      </c>
      <c r="L790" s="1">
        <f>IF(B790="North",77.2,
IF(B790="South",80.2,
IF(B790="East",88.4,
IF(B790="West",72.8,
78.9))))</f>
        <v>72.8</v>
      </c>
    </row>
    <row r="791" spans="1:12" x14ac:dyDescent="0.25">
      <c r="A791" s="5">
        <v>45483</v>
      </c>
      <c r="B791" s="1" t="s">
        <v>10</v>
      </c>
      <c r="C791" s="1" t="s">
        <v>20</v>
      </c>
      <c r="D791" s="1" t="s">
        <v>25</v>
      </c>
      <c r="E791" s="10">
        <v>1</v>
      </c>
      <c r="F791" s="10">
        <v>1994</v>
      </c>
      <c r="G791" s="1" t="s">
        <v>33</v>
      </c>
      <c r="H791" s="10">
        <f t="shared" si="24"/>
        <v>1994</v>
      </c>
      <c r="I791" s="7">
        <v>1330.510876045729</v>
      </c>
      <c r="J791" s="7">
        <f t="shared" si="25"/>
        <v>663.48912395427101</v>
      </c>
      <c r="K791" s="1">
        <f>IF(B791="North",28.6,
IF(B791="South",13,
IF(B791="East",22.6,
IF(B791="West",19,
23.5))))</f>
        <v>28.6</v>
      </c>
      <c r="L791" s="1">
        <f>IF(B791="North",77.2,
IF(B791="South",80.2,
IF(B791="East",88.4,
IF(B791="West",72.8,
78.9))))</f>
        <v>77.2</v>
      </c>
    </row>
    <row r="792" spans="1:12" x14ac:dyDescent="0.25">
      <c r="A792" s="5">
        <v>45543</v>
      </c>
      <c r="B792" s="1" t="s">
        <v>10</v>
      </c>
      <c r="C792" s="1" t="s">
        <v>24</v>
      </c>
      <c r="D792" s="1" t="s">
        <v>29</v>
      </c>
      <c r="E792" s="10">
        <v>18</v>
      </c>
      <c r="F792" s="10">
        <v>295</v>
      </c>
      <c r="G792" s="1" t="s">
        <v>35</v>
      </c>
      <c r="H792" s="10">
        <f t="shared" si="24"/>
        <v>5310</v>
      </c>
      <c r="I792" s="7">
        <v>4176.4104981870487</v>
      </c>
      <c r="J792" s="7">
        <f t="shared" si="25"/>
        <v>1133.5895018129513</v>
      </c>
      <c r="K792" s="1">
        <f>IF(B792="North",28.6,
IF(B792="South",13,
IF(B792="East",22.6,
IF(B792="West",19,
23.5))))</f>
        <v>28.6</v>
      </c>
      <c r="L792" s="1">
        <f>IF(B792="North",77.2,
IF(B792="South",80.2,
IF(B792="East",88.4,
IF(B792="West",72.8,
78.9))))</f>
        <v>77.2</v>
      </c>
    </row>
    <row r="793" spans="1:12" x14ac:dyDescent="0.25">
      <c r="A793" s="5">
        <v>45517</v>
      </c>
      <c r="B793" s="1" t="s">
        <v>11</v>
      </c>
      <c r="C793" s="1" t="s">
        <v>40</v>
      </c>
      <c r="D793" s="1" t="s">
        <v>36</v>
      </c>
      <c r="E793" s="10">
        <v>12</v>
      </c>
      <c r="F793" s="10">
        <v>1966</v>
      </c>
      <c r="G793" s="1" t="s">
        <v>33</v>
      </c>
      <c r="H793" s="10">
        <f t="shared" si="24"/>
        <v>23592</v>
      </c>
      <c r="I793" s="7">
        <v>18329.126926627781</v>
      </c>
      <c r="J793" s="7">
        <f t="shared" si="25"/>
        <v>5262.8730733722186</v>
      </c>
      <c r="K793" s="1">
        <f>IF(B793="North",28.6,
IF(B793="South",13,
IF(B793="East",22.6,
IF(B793="West",19,
23.5))))</f>
        <v>19</v>
      </c>
      <c r="L793" s="1">
        <f>IF(B793="North",77.2,
IF(B793="South",80.2,
IF(B793="East",88.4,
IF(B793="West",72.8,
78.9))))</f>
        <v>72.8</v>
      </c>
    </row>
    <row r="794" spans="1:12" x14ac:dyDescent="0.25">
      <c r="A794" s="5">
        <v>45585</v>
      </c>
      <c r="B794" s="1" t="s">
        <v>10</v>
      </c>
      <c r="C794" s="1" t="s">
        <v>24</v>
      </c>
      <c r="D794" s="1" t="s">
        <v>26</v>
      </c>
      <c r="E794" s="10">
        <v>16</v>
      </c>
      <c r="F794" s="10">
        <v>128</v>
      </c>
      <c r="G794" s="1" t="s">
        <v>35</v>
      </c>
      <c r="H794" s="10">
        <f t="shared" si="24"/>
        <v>2048</v>
      </c>
      <c r="I794" s="7">
        <v>1825.024499335289</v>
      </c>
      <c r="J794" s="7">
        <f t="shared" si="25"/>
        <v>222.97550066471103</v>
      </c>
      <c r="K794" s="1">
        <f>IF(B794="North",28.6,
IF(B794="South",13,
IF(B794="East",22.6,
IF(B794="West",19,
23.5))))</f>
        <v>28.6</v>
      </c>
      <c r="L794" s="1">
        <f>IF(B794="North",77.2,
IF(B794="South",80.2,
IF(B794="East",88.4,
IF(B794="West",72.8,
78.9))))</f>
        <v>77.2</v>
      </c>
    </row>
    <row r="795" spans="1:12" x14ac:dyDescent="0.25">
      <c r="A795" s="5">
        <v>45597</v>
      </c>
      <c r="B795" s="1" t="s">
        <v>11</v>
      </c>
      <c r="C795" s="1" t="s">
        <v>17</v>
      </c>
      <c r="D795" s="1" t="s">
        <v>26</v>
      </c>
      <c r="E795" s="10">
        <v>10</v>
      </c>
      <c r="F795" s="10">
        <v>805</v>
      </c>
      <c r="G795" s="1" t="s">
        <v>33</v>
      </c>
      <c r="H795" s="10">
        <f t="shared" si="24"/>
        <v>8050</v>
      </c>
      <c r="I795" s="7">
        <v>4976.7881496004766</v>
      </c>
      <c r="J795" s="7">
        <f t="shared" si="25"/>
        <v>3073.2118503995234</v>
      </c>
      <c r="K795" s="1">
        <f>IF(B795="North",28.6,
IF(B795="South",13,
IF(B795="East",22.6,
IF(B795="West",19,
23.5))))</f>
        <v>19</v>
      </c>
      <c r="L795" s="1">
        <f>IF(B795="North",77.2,
IF(B795="South",80.2,
IF(B795="East",88.4,
IF(B795="West",72.8,
78.9))))</f>
        <v>72.8</v>
      </c>
    </row>
    <row r="796" spans="1:12" x14ac:dyDescent="0.25">
      <c r="A796" s="5">
        <v>45389</v>
      </c>
      <c r="B796" s="1" t="s">
        <v>13</v>
      </c>
      <c r="C796" s="1" t="s">
        <v>19</v>
      </c>
      <c r="D796" s="1" t="s">
        <v>32</v>
      </c>
      <c r="E796" s="10">
        <v>10</v>
      </c>
      <c r="F796" s="10">
        <v>1120</v>
      </c>
      <c r="G796" s="1" t="s">
        <v>35</v>
      </c>
      <c r="H796" s="10">
        <f t="shared" si="24"/>
        <v>11200</v>
      </c>
      <c r="I796" s="7">
        <v>7083.2919605147663</v>
      </c>
      <c r="J796" s="7">
        <f t="shared" si="25"/>
        <v>4116.7080394852337</v>
      </c>
      <c r="K796" s="1">
        <f>IF(B796="North",28.6,
IF(B796="South",13,
IF(B796="East",22.6,
IF(B796="West",19,
23.5))))</f>
        <v>13</v>
      </c>
      <c r="L796" s="1">
        <f>IF(B796="North",77.2,
IF(B796="South",80.2,
IF(B796="East",88.4,
IF(B796="West",72.8,
78.9))))</f>
        <v>80.2</v>
      </c>
    </row>
    <row r="797" spans="1:12" x14ac:dyDescent="0.25">
      <c r="A797" s="5">
        <v>45629</v>
      </c>
      <c r="B797" s="1" t="s">
        <v>12</v>
      </c>
      <c r="C797" s="1" t="s">
        <v>22</v>
      </c>
      <c r="D797" s="1" t="s">
        <v>31</v>
      </c>
      <c r="E797" s="10">
        <v>14</v>
      </c>
      <c r="F797" s="10">
        <v>115</v>
      </c>
      <c r="G797" s="1" t="s">
        <v>35</v>
      </c>
      <c r="H797" s="10">
        <f t="shared" si="24"/>
        <v>1610</v>
      </c>
      <c r="I797" s="7">
        <v>1210.4383139069009</v>
      </c>
      <c r="J797" s="7">
        <f t="shared" si="25"/>
        <v>399.56168609309907</v>
      </c>
      <c r="K797" s="1">
        <f>IF(B797="North",28.6,
IF(B797="South",13,
IF(B797="East",22.6,
IF(B797="West",19,
23.5))))</f>
        <v>22.6</v>
      </c>
      <c r="L797" s="1">
        <f>IF(B797="North",77.2,
IF(B797="South",80.2,
IF(B797="East",88.4,
IF(B797="West",72.8,
78.9))))</f>
        <v>88.4</v>
      </c>
    </row>
    <row r="798" spans="1:12" x14ac:dyDescent="0.25">
      <c r="A798" s="5">
        <v>45577</v>
      </c>
      <c r="B798" s="1" t="s">
        <v>13</v>
      </c>
      <c r="C798" s="1" t="s">
        <v>24</v>
      </c>
      <c r="D798" s="1" t="s">
        <v>27</v>
      </c>
      <c r="E798" s="10">
        <v>10</v>
      </c>
      <c r="F798" s="10">
        <v>1546</v>
      </c>
      <c r="G798" s="1" t="s">
        <v>35</v>
      </c>
      <c r="H798" s="10">
        <f t="shared" si="24"/>
        <v>15460</v>
      </c>
      <c r="I798" s="7">
        <v>11720.73536999016</v>
      </c>
      <c r="J798" s="7">
        <f t="shared" si="25"/>
        <v>3739.2646300098404</v>
      </c>
      <c r="K798" s="1">
        <f>IF(B798="North",28.6,
IF(B798="South",13,
IF(B798="East",22.6,
IF(B798="West",19,
23.5))))</f>
        <v>13</v>
      </c>
      <c r="L798" s="1">
        <f>IF(B798="North",77.2,
IF(B798="South",80.2,
IF(B798="East",88.4,
IF(B798="West",72.8,
78.9))))</f>
        <v>80.2</v>
      </c>
    </row>
    <row r="799" spans="1:12" x14ac:dyDescent="0.25">
      <c r="A799" s="5">
        <v>45626</v>
      </c>
      <c r="B799" s="1" t="s">
        <v>11</v>
      </c>
      <c r="C799" s="1" t="s">
        <v>24</v>
      </c>
      <c r="D799" s="1" t="s">
        <v>32</v>
      </c>
      <c r="E799" s="10">
        <v>10</v>
      </c>
      <c r="F799" s="10">
        <v>1712</v>
      </c>
      <c r="G799" s="1" t="s">
        <v>35</v>
      </c>
      <c r="H799" s="10">
        <f t="shared" si="24"/>
        <v>17120</v>
      </c>
      <c r="I799" s="7">
        <v>10477.068455623359</v>
      </c>
      <c r="J799" s="7">
        <f t="shared" si="25"/>
        <v>6642.9315443766409</v>
      </c>
      <c r="K799" s="1">
        <f>IF(B799="North",28.6,
IF(B799="South",13,
IF(B799="East",22.6,
IF(B799="West",19,
23.5))))</f>
        <v>19</v>
      </c>
      <c r="L799" s="1">
        <f>IF(B799="North",77.2,
IF(B799="South",80.2,
IF(B799="East",88.4,
IF(B799="West",72.8,
78.9))))</f>
        <v>72.8</v>
      </c>
    </row>
    <row r="800" spans="1:12" x14ac:dyDescent="0.25">
      <c r="A800" s="5">
        <v>45638</v>
      </c>
      <c r="B800" s="1" t="s">
        <v>12</v>
      </c>
      <c r="C800" s="1" t="s">
        <v>17</v>
      </c>
      <c r="D800" s="1" t="s">
        <v>30</v>
      </c>
      <c r="E800" s="10">
        <v>11</v>
      </c>
      <c r="F800" s="10">
        <v>904</v>
      </c>
      <c r="G800" s="1" t="s">
        <v>33</v>
      </c>
      <c r="H800" s="10">
        <f t="shared" si="24"/>
        <v>9944</v>
      </c>
      <c r="I800" s="7">
        <v>8430.0918915079183</v>
      </c>
      <c r="J800" s="7">
        <f t="shared" si="25"/>
        <v>1513.9081084920817</v>
      </c>
      <c r="K800" s="1">
        <f>IF(B800="North",28.6,
IF(B800="South",13,
IF(B800="East",22.6,
IF(B800="West",19,
23.5))))</f>
        <v>22.6</v>
      </c>
      <c r="L800" s="1">
        <f>IF(B800="North",77.2,
IF(B800="South",80.2,
IF(B800="East",88.4,
IF(B800="West",72.8,
78.9))))</f>
        <v>88.4</v>
      </c>
    </row>
    <row r="801" spans="1:12" x14ac:dyDescent="0.25">
      <c r="A801" s="5">
        <v>45599</v>
      </c>
      <c r="B801" s="1" t="s">
        <v>11</v>
      </c>
      <c r="C801" s="1" t="s">
        <v>18</v>
      </c>
      <c r="D801" s="1" t="s">
        <v>29</v>
      </c>
      <c r="E801" s="10">
        <v>2</v>
      </c>
      <c r="F801" s="10">
        <v>1716</v>
      </c>
      <c r="G801" s="1" t="s">
        <v>34</v>
      </c>
      <c r="H801" s="10">
        <f t="shared" si="24"/>
        <v>3432</v>
      </c>
      <c r="I801" s="7">
        <v>2568.5673136467422</v>
      </c>
      <c r="J801" s="7">
        <f t="shared" si="25"/>
        <v>863.43268635325785</v>
      </c>
      <c r="K801" s="1">
        <f>IF(B801="North",28.6,
IF(B801="South",13,
IF(B801="East",22.6,
IF(B801="West",19,
23.5))))</f>
        <v>19</v>
      </c>
      <c r="L801" s="1">
        <f>IF(B801="North",77.2,
IF(B801="South",80.2,
IF(B801="East",88.4,
IF(B801="West",72.8,
78.9))))</f>
        <v>72.8</v>
      </c>
    </row>
    <row r="802" spans="1:12" x14ac:dyDescent="0.25">
      <c r="A802" s="5">
        <v>45540</v>
      </c>
      <c r="B802" s="1" t="s">
        <v>12</v>
      </c>
      <c r="C802" s="1" t="s">
        <v>19</v>
      </c>
      <c r="D802" s="1" t="s">
        <v>29</v>
      </c>
      <c r="E802" s="10">
        <v>8</v>
      </c>
      <c r="F802" s="10">
        <v>1528</v>
      </c>
      <c r="G802" s="1" t="s">
        <v>35</v>
      </c>
      <c r="H802" s="10">
        <f t="shared" si="24"/>
        <v>12224</v>
      </c>
      <c r="I802" s="7">
        <v>8605.6119476801468</v>
      </c>
      <c r="J802" s="7">
        <f t="shared" si="25"/>
        <v>3618.3880523198532</v>
      </c>
      <c r="K802" s="1">
        <f>IF(B802="North",28.6,
IF(B802="South",13,
IF(B802="East",22.6,
IF(B802="West",19,
23.5))))</f>
        <v>22.6</v>
      </c>
      <c r="L802" s="1">
        <f>IF(B802="North",77.2,
IF(B802="South",80.2,
IF(B802="East",88.4,
IF(B802="West",72.8,
78.9))))</f>
        <v>88.4</v>
      </c>
    </row>
    <row r="803" spans="1:12" x14ac:dyDescent="0.25">
      <c r="A803" s="5">
        <v>45457</v>
      </c>
      <c r="B803" s="1" t="s">
        <v>12</v>
      </c>
      <c r="C803" s="1" t="s">
        <v>19</v>
      </c>
      <c r="D803" s="1" t="s">
        <v>27</v>
      </c>
      <c r="E803" s="10">
        <v>7</v>
      </c>
      <c r="F803" s="10">
        <v>1039</v>
      </c>
      <c r="G803" s="1" t="s">
        <v>35</v>
      </c>
      <c r="H803" s="10">
        <f t="shared" si="24"/>
        <v>7273</v>
      </c>
      <c r="I803" s="7">
        <v>5059.5070421045984</v>
      </c>
      <c r="J803" s="7">
        <f t="shared" si="25"/>
        <v>2213.4929578954016</v>
      </c>
      <c r="K803" s="1">
        <f>IF(B803="North",28.6,
IF(B803="South",13,
IF(B803="East",22.6,
IF(B803="West",19,
23.5))))</f>
        <v>22.6</v>
      </c>
      <c r="L803" s="1">
        <f>IF(B803="North",77.2,
IF(B803="South",80.2,
IF(B803="East",88.4,
IF(B803="West",72.8,
78.9))))</f>
        <v>88.4</v>
      </c>
    </row>
    <row r="804" spans="1:12" x14ac:dyDescent="0.25">
      <c r="A804" s="5">
        <v>45626</v>
      </c>
      <c r="B804" s="1" t="s">
        <v>12</v>
      </c>
      <c r="C804" s="1" t="s">
        <v>23</v>
      </c>
      <c r="D804" s="1" t="s">
        <v>26</v>
      </c>
      <c r="E804" s="10">
        <v>8</v>
      </c>
      <c r="F804" s="10">
        <v>1759</v>
      </c>
      <c r="G804" s="1" t="s">
        <v>34</v>
      </c>
      <c r="H804" s="10">
        <f t="shared" si="24"/>
        <v>14072</v>
      </c>
      <c r="I804" s="7">
        <v>12079.71655764913</v>
      </c>
      <c r="J804" s="7">
        <f t="shared" si="25"/>
        <v>1992.2834423508702</v>
      </c>
      <c r="K804" s="1">
        <f>IF(B804="North",28.6,
IF(B804="South",13,
IF(B804="East",22.6,
IF(B804="West",19,
23.5))))</f>
        <v>22.6</v>
      </c>
      <c r="L804" s="1">
        <f>IF(B804="North",77.2,
IF(B804="South",80.2,
IF(B804="East",88.4,
IF(B804="West",72.8,
78.9))))</f>
        <v>88.4</v>
      </c>
    </row>
    <row r="805" spans="1:12" x14ac:dyDescent="0.25">
      <c r="A805" s="5">
        <v>45321</v>
      </c>
      <c r="B805" s="1" t="s">
        <v>12</v>
      </c>
      <c r="C805" s="1" t="s">
        <v>18</v>
      </c>
      <c r="D805" s="1" t="s">
        <v>25</v>
      </c>
      <c r="E805" s="10">
        <v>1</v>
      </c>
      <c r="F805" s="10">
        <v>1654</v>
      </c>
      <c r="G805" s="1" t="s">
        <v>34</v>
      </c>
      <c r="H805" s="10">
        <f t="shared" si="24"/>
        <v>1654</v>
      </c>
      <c r="I805" s="7">
        <v>1090.018848321663</v>
      </c>
      <c r="J805" s="7">
        <f t="shared" si="25"/>
        <v>563.98115167833703</v>
      </c>
      <c r="K805" s="1">
        <f>IF(B805="North",28.6,
IF(B805="South",13,
IF(B805="East",22.6,
IF(B805="West",19,
23.5))))</f>
        <v>22.6</v>
      </c>
      <c r="L805" s="1">
        <f>IF(B805="North",77.2,
IF(B805="South",80.2,
IF(B805="East",88.4,
IF(B805="West",72.8,
78.9))))</f>
        <v>88.4</v>
      </c>
    </row>
    <row r="806" spans="1:12" x14ac:dyDescent="0.25">
      <c r="A806" s="5">
        <v>45538</v>
      </c>
      <c r="B806" s="1" t="s">
        <v>11</v>
      </c>
      <c r="C806" s="1" t="s">
        <v>17</v>
      </c>
      <c r="D806" s="1" t="s">
        <v>29</v>
      </c>
      <c r="E806" s="10">
        <v>2</v>
      </c>
      <c r="F806" s="10">
        <v>1066</v>
      </c>
      <c r="G806" s="1" t="s">
        <v>33</v>
      </c>
      <c r="H806" s="10">
        <f t="shared" si="24"/>
        <v>2132</v>
      </c>
      <c r="I806" s="7">
        <v>1381.803164394697</v>
      </c>
      <c r="J806" s="7">
        <f t="shared" si="25"/>
        <v>750.19683560530302</v>
      </c>
      <c r="K806" s="1">
        <f>IF(B806="North",28.6,
IF(B806="South",13,
IF(B806="East",22.6,
IF(B806="West",19,
23.5))))</f>
        <v>19</v>
      </c>
      <c r="L806" s="1">
        <f>IF(B806="North",77.2,
IF(B806="South",80.2,
IF(B806="East",88.4,
IF(B806="West",72.8,
78.9))))</f>
        <v>72.8</v>
      </c>
    </row>
    <row r="807" spans="1:12" x14ac:dyDescent="0.25">
      <c r="A807" s="5">
        <v>45397</v>
      </c>
      <c r="B807" s="1" t="s">
        <v>12</v>
      </c>
      <c r="C807" s="1" t="s">
        <v>19</v>
      </c>
      <c r="D807" s="1" t="s">
        <v>27</v>
      </c>
      <c r="E807" s="10">
        <v>18</v>
      </c>
      <c r="F807" s="10">
        <v>1737</v>
      </c>
      <c r="G807" s="1" t="s">
        <v>35</v>
      </c>
      <c r="H807" s="10">
        <f t="shared" si="24"/>
        <v>31266</v>
      </c>
      <c r="I807" s="7">
        <v>20759.171968408551</v>
      </c>
      <c r="J807" s="7">
        <f t="shared" si="25"/>
        <v>10506.828031591449</v>
      </c>
      <c r="K807" s="1">
        <f>IF(B807="North",28.6,
IF(B807="South",13,
IF(B807="East",22.6,
IF(B807="West",19,
23.5))))</f>
        <v>22.6</v>
      </c>
      <c r="L807" s="1">
        <f>IF(B807="North",77.2,
IF(B807="South",80.2,
IF(B807="East",88.4,
IF(B807="West",72.8,
78.9))))</f>
        <v>88.4</v>
      </c>
    </row>
    <row r="808" spans="1:12" x14ac:dyDescent="0.25">
      <c r="A808" s="5">
        <v>45342</v>
      </c>
      <c r="B808" s="1" t="s">
        <v>12</v>
      </c>
      <c r="C808" s="1" t="s">
        <v>18</v>
      </c>
      <c r="D808" s="1" t="s">
        <v>29</v>
      </c>
      <c r="E808" s="10">
        <v>15</v>
      </c>
      <c r="F808" s="10">
        <v>1200</v>
      </c>
      <c r="G808" s="1" t="s">
        <v>34</v>
      </c>
      <c r="H808" s="10">
        <f t="shared" si="24"/>
        <v>18000</v>
      </c>
      <c r="I808" s="7">
        <v>14175.121757320599</v>
      </c>
      <c r="J808" s="7">
        <f t="shared" si="25"/>
        <v>3824.8782426794005</v>
      </c>
      <c r="K808" s="1">
        <f>IF(B808="North",28.6,
IF(B808="South",13,
IF(B808="East",22.6,
IF(B808="West",19,
23.5))))</f>
        <v>22.6</v>
      </c>
      <c r="L808" s="1">
        <f>IF(B808="North",77.2,
IF(B808="South",80.2,
IF(B808="East",88.4,
IF(B808="West",72.8,
78.9))))</f>
        <v>88.4</v>
      </c>
    </row>
    <row r="809" spans="1:12" x14ac:dyDescent="0.25">
      <c r="A809" s="5">
        <v>45372</v>
      </c>
      <c r="B809" s="1" t="s">
        <v>13</v>
      </c>
      <c r="C809" s="1" t="s">
        <v>21</v>
      </c>
      <c r="D809" s="1" t="s">
        <v>29</v>
      </c>
      <c r="E809" s="10">
        <v>1</v>
      </c>
      <c r="F809" s="10">
        <v>328</v>
      </c>
      <c r="G809" s="1" t="s">
        <v>35</v>
      </c>
      <c r="H809" s="10">
        <f t="shared" si="24"/>
        <v>328</v>
      </c>
      <c r="I809" s="7">
        <v>276.59559619383549</v>
      </c>
      <c r="J809" s="7">
        <f t="shared" si="25"/>
        <v>51.40440380616451</v>
      </c>
      <c r="K809" s="1">
        <f>IF(B809="North",28.6,
IF(B809="South",13,
IF(B809="East",22.6,
IF(B809="West",19,
23.5))))</f>
        <v>13</v>
      </c>
      <c r="L809" s="1">
        <f>IF(B809="North",77.2,
IF(B809="South",80.2,
IF(B809="East",88.4,
IF(B809="West",72.8,
78.9))))</f>
        <v>80.2</v>
      </c>
    </row>
    <row r="810" spans="1:12" x14ac:dyDescent="0.25">
      <c r="A810" s="5">
        <v>45424</v>
      </c>
      <c r="B810" s="1" t="s">
        <v>10</v>
      </c>
      <c r="C810" s="1" t="s">
        <v>18</v>
      </c>
      <c r="D810" s="1" t="s">
        <v>31</v>
      </c>
      <c r="E810" s="10">
        <v>5</v>
      </c>
      <c r="F810" s="10">
        <v>1061</v>
      </c>
      <c r="G810" s="1" t="s">
        <v>34</v>
      </c>
      <c r="H810" s="10">
        <f t="shared" si="24"/>
        <v>5305</v>
      </c>
      <c r="I810" s="7">
        <v>3709.7525911638868</v>
      </c>
      <c r="J810" s="7">
        <f t="shared" si="25"/>
        <v>1595.2474088361132</v>
      </c>
      <c r="K810" s="1">
        <f>IF(B810="North",28.6,
IF(B810="South",13,
IF(B810="East",22.6,
IF(B810="West",19,
23.5))))</f>
        <v>28.6</v>
      </c>
      <c r="L810" s="1">
        <f>IF(B810="North",77.2,
IF(B810="South",80.2,
IF(B810="East",88.4,
IF(B810="West",72.8,
78.9))))</f>
        <v>77.2</v>
      </c>
    </row>
    <row r="811" spans="1:12" x14ac:dyDescent="0.25">
      <c r="A811" s="5">
        <v>45576</v>
      </c>
      <c r="B811" s="1" t="s">
        <v>10</v>
      </c>
      <c r="C811" s="1" t="s">
        <v>20</v>
      </c>
      <c r="D811" s="1" t="s">
        <v>30</v>
      </c>
      <c r="E811" s="10">
        <v>2</v>
      </c>
      <c r="F811" s="10">
        <v>1420</v>
      </c>
      <c r="G811" s="1" t="s">
        <v>33</v>
      </c>
      <c r="H811" s="10">
        <f t="shared" si="24"/>
        <v>2840</v>
      </c>
      <c r="I811" s="7">
        <v>1851.789622393821</v>
      </c>
      <c r="J811" s="7">
        <f t="shared" si="25"/>
        <v>988.21037760617901</v>
      </c>
      <c r="K811" s="1">
        <f>IF(B811="North",28.6,
IF(B811="South",13,
IF(B811="East",22.6,
IF(B811="West",19,
23.5))))</f>
        <v>28.6</v>
      </c>
      <c r="L811" s="1">
        <f>IF(B811="North",77.2,
IF(B811="South",80.2,
IF(B811="East",88.4,
IF(B811="West",72.8,
78.9))))</f>
        <v>77.2</v>
      </c>
    </row>
    <row r="812" spans="1:12" x14ac:dyDescent="0.25">
      <c r="A812" s="5">
        <v>45429</v>
      </c>
      <c r="B812" s="1" t="s">
        <v>13</v>
      </c>
      <c r="C812" s="1" t="s">
        <v>23</v>
      </c>
      <c r="D812" s="1" t="s">
        <v>36</v>
      </c>
      <c r="E812" s="10">
        <v>3</v>
      </c>
      <c r="F812" s="10">
        <v>1633</v>
      </c>
      <c r="G812" s="1" t="s">
        <v>34</v>
      </c>
      <c r="H812" s="10">
        <f t="shared" si="24"/>
        <v>4899</v>
      </c>
      <c r="I812" s="7">
        <v>3246.8526681637841</v>
      </c>
      <c r="J812" s="7">
        <f t="shared" si="25"/>
        <v>1652.1473318362159</v>
      </c>
      <c r="K812" s="1">
        <f>IF(B812="North",28.6,
IF(B812="South",13,
IF(B812="East",22.6,
IF(B812="West",19,
23.5))))</f>
        <v>13</v>
      </c>
      <c r="L812" s="1">
        <f>IF(B812="North",77.2,
IF(B812="South",80.2,
IF(B812="East",88.4,
IF(B812="West",72.8,
78.9))))</f>
        <v>80.2</v>
      </c>
    </row>
    <row r="813" spans="1:12" x14ac:dyDescent="0.25">
      <c r="A813" s="5">
        <v>45475</v>
      </c>
      <c r="B813" s="1" t="s">
        <v>13</v>
      </c>
      <c r="C813" s="1" t="s">
        <v>21</v>
      </c>
      <c r="D813" s="1" t="s">
        <v>30</v>
      </c>
      <c r="E813" s="10">
        <v>19</v>
      </c>
      <c r="F813" s="10">
        <v>814</v>
      </c>
      <c r="G813" s="1" t="s">
        <v>35</v>
      </c>
      <c r="H813" s="10">
        <f t="shared" si="24"/>
        <v>15466</v>
      </c>
      <c r="I813" s="7">
        <v>12152.488895567119</v>
      </c>
      <c r="J813" s="7">
        <f t="shared" si="25"/>
        <v>3313.5111044328805</v>
      </c>
      <c r="K813" s="1">
        <f>IF(B813="North",28.6,
IF(B813="South",13,
IF(B813="East",22.6,
IF(B813="West",19,
23.5))))</f>
        <v>13</v>
      </c>
      <c r="L813" s="1">
        <f>IF(B813="North",77.2,
IF(B813="South",80.2,
IF(B813="East",88.4,
IF(B813="West",72.8,
78.9))))</f>
        <v>80.2</v>
      </c>
    </row>
    <row r="814" spans="1:12" x14ac:dyDescent="0.25">
      <c r="A814" s="5">
        <v>45621</v>
      </c>
      <c r="B814" s="1" t="s">
        <v>11</v>
      </c>
      <c r="C814" s="1" t="s">
        <v>22</v>
      </c>
      <c r="D814" s="1" t="s">
        <v>29</v>
      </c>
      <c r="E814" s="10">
        <v>18</v>
      </c>
      <c r="F814" s="10">
        <v>1083</v>
      </c>
      <c r="G814" s="1" t="s">
        <v>35</v>
      </c>
      <c r="H814" s="10">
        <f t="shared" si="24"/>
        <v>19494</v>
      </c>
      <c r="I814" s="7">
        <v>13135.263209946061</v>
      </c>
      <c r="J814" s="7">
        <f t="shared" si="25"/>
        <v>6358.7367900539393</v>
      </c>
      <c r="K814" s="1">
        <f>IF(B814="North",28.6,
IF(B814="South",13,
IF(B814="East",22.6,
IF(B814="West",19,
23.5))))</f>
        <v>19</v>
      </c>
      <c r="L814" s="1">
        <f>IF(B814="North",77.2,
IF(B814="South",80.2,
IF(B814="East",88.4,
IF(B814="West",72.8,
78.9))))</f>
        <v>72.8</v>
      </c>
    </row>
    <row r="815" spans="1:12" x14ac:dyDescent="0.25">
      <c r="A815" s="5">
        <v>45564</v>
      </c>
      <c r="B815" s="1" t="s">
        <v>11</v>
      </c>
      <c r="C815" s="1" t="s">
        <v>24</v>
      </c>
      <c r="D815" s="1" t="s">
        <v>32</v>
      </c>
      <c r="E815" s="10">
        <v>18</v>
      </c>
      <c r="F815" s="10">
        <v>672</v>
      </c>
      <c r="G815" s="1" t="s">
        <v>35</v>
      </c>
      <c r="H815" s="10">
        <f t="shared" si="24"/>
        <v>12096</v>
      </c>
      <c r="I815" s="7">
        <v>10441.07450352784</v>
      </c>
      <c r="J815" s="7">
        <f t="shared" si="25"/>
        <v>1654.9254964721604</v>
      </c>
      <c r="K815" s="1">
        <f>IF(B815="North",28.6,
IF(B815="South",13,
IF(B815="East",22.6,
IF(B815="West",19,
23.5))))</f>
        <v>19</v>
      </c>
      <c r="L815" s="1">
        <f>IF(B815="North",77.2,
IF(B815="South",80.2,
IF(B815="East",88.4,
IF(B815="West",72.8,
78.9))))</f>
        <v>72.8</v>
      </c>
    </row>
    <row r="816" spans="1:12" x14ac:dyDescent="0.25">
      <c r="A816" s="5">
        <v>45631</v>
      </c>
      <c r="B816" s="1" t="s">
        <v>11</v>
      </c>
      <c r="C816" s="1" t="s">
        <v>23</v>
      </c>
      <c r="D816" s="1" t="s">
        <v>25</v>
      </c>
      <c r="E816" s="10">
        <v>14</v>
      </c>
      <c r="F816" s="10">
        <v>1661</v>
      </c>
      <c r="G816" s="1" t="s">
        <v>34</v>
      </c>
      <c r="H816" s="10">
        <f t="shared" si="24"/>
        <v>23254</v>
      </c>
      <c r="I816" s="7">
        <v>14677.166866665129</v>
      </c>
      <c r="J816" s="7">
        <f t="shared" si="25"/>
        <v>8576.8331333348706</v>
      </c>
      <c r="K816" s="1">
        <f>IF(B816="North",28.6,
IF(B816="South",13,
IF(B816="East",22.6,
IF(B816="West",19,
23.5))))</f>
        <v>19</v>
      </c>
      <c r="L816" s="1">
        <f>IF(B816="North",77.2,
IF(B816="South",80.2,
IF(B816="East",88.4,
IF(B816="West",72.8,
78.9))))</f>
        <v>72.8</v>
      </c>
    </row>
    <row r="817" spans="1:12" x14ac:dyDescent="0.25">
      <c r="A817" s="5">
        <v>45360</v>
      </c>
      <c r="B817" s="1" t="s">
        <v>13</v>
      </c>
      <c r="C817" s="1" t="s">
        <v>22</v>
      </c>
      <c r="D817" s="1" t="s">
        <v>26</v>
      </c>
      <c r="E817" s="10">
        <v>8</v>
      </c>
      <c r="F817" s="10">
        <v>1706</v>
      </c>
      <c r="G817" s="1" t="s">
        <v>35</v>
      </c>
      <c r="H817" s="10">
        <f t="shared" si="24"/>
        <v>13648</v>
      </c>
      <c r="I817" s="7">
        <v>8321.3297256322021</v>
      </c>
      <c r="J817" s="7">
        <f t="shared" si="25"/>
        <v>5326.6702743677979</v>
      </c>
      <c r="K817" s="1">
        <f>IF(B817="North",28.6,
IF(B817="South",13,
IF(B817="East",22.6,
IF(B817="West",19,
23.5))))</f>
        <v>13</v>
      </c>
      <c r="L817" s="1">
        <f>IF(B817="North",77.2,
IF(B817="South",80.2,
IF(B817="East",88.4,
IF(B817="West",72.8,
78.9))))</f>
        <v>80.2</v>
      </c>
    </row>
    <row r="818" spans="1:12" x14ac:dyDescent="0.25">
      <c r="A818" s="5">
        <v>45325</v>
      </c>
      <c r="B818" s="1" t="s">
        <v>13</v>
      </c>
      <c r="C818" s="1" t="s">
        <v>24</v>
      </c>
      <c r="D818" s="1" t="s">
        <v>29</v>
      </c>
      <c r="E818" s="10">
        <v>12</v>
      </c>
      <c r="F818" s="10">
        <v>714</v>
      </c>
      <c r="G818" s="1" t="s">
        <v>35</v>
      </c>
      <c r="H818" s="10">
        <f t="shared" si="24"/>
        <v>8568</v>
      </c>
      <c r="I818" s="7">
        <v>5367.9674434179069</v>
      </c>
      <c r="J818" s="7">
        <f t="shared" si="25"/>
        <v>3200.0325565820931</v>
      </c>
      <c r="K818" s="1">
        <f>IF(B818="North",28.6,
IF(B818="South",13,
IF(B818="East",22.6,
IF(B818="West",19,
23.5))))</f>
        <v>13</v>
      </c>
      <c r="L818" s="1">
        <f>IF(B818="North",77.2,
IF(B818="South",80.2,
IF(B818="East",88.4,
IF(B818="West",72.8,
78.9))))</f>
        <v>80.2</v>
      </c>
    </row>
    <row r="819" spans="1:12" x14ac:dyDescent="0.25">
      <c r="A819" s="5">
        <v>45553</v>
      </c>
      <c r="B819" s="1" t="s">
        <v>12</v>
      </c>
      <c r="C819" s="1" t="s">
        <v>20</v>
      </c>
      <c r="D819" s="1" t="s">
        <v>30</v>
      </c>
      <c r="E819" s="10">
        <v>10</v>
      </c>
      <c r="F819" s="10">
        <v>425</v>
      </c>
      <c r="G819" s="1" t="s">
        <v>33</v>
      </c>
      <c r="H819" s="10">
        <f t="shared" si="24"/>
        <v>4250</v>
      </c>
      <c r="I819" s="7">
        <v>3628.1949784925591</v>
      </c>
      <c r="J819" s="7">
        <f t="shared" si="25"/>
        <v>621.80502150744087</v>
      </c>
      <c r="K819" s="1">
        <f>IF(B819="North",28.6,
IF(B819="South",13,
IF(B819="East",22.6,
IF(B819="West",19,
23.5))))</f>
        <v>22.6</v>
      </c>
      <c r="L819" s="1">
        <f>IF(B819="North",77.2,
IF(B819="South",80.2,
IF(B819="East",88.4,
IF(B819="West",72.8,
78.9))))</f>
        <v>88.4</v>
      </c>
    </row>
    <row r="820" spans="1:12" x14ac:dyDescent="0.25">
      <c r="A820" s="5">
        <v>45344</v>
      </c>
      <c r="B820" s="1" t="s">
        <v>11</v>
      </c>
      <c r="C820" s="1" t="s">
        <v>18</v>
      </c>
      <c r="D820" s="1" t="s">
        <v>30</v>
      </c>
      <c r="E820" s="10">
        <v>17</v>
      </c>
      <c r="F820" s="10">
        <v>1486</v>
      </c>
      <c r="G820" s="1" t="s">
        <v>34</v>
      </c>
      <c r="H820" s="10">
        <f t="shared" si="24"/>
        <v>25262</v>
      </c>
      <c r="I820" s="7">
        <v>20092.60803773818</v>
      </c>
      <c r="J820" s="7">
        <f t="shared" si="25"/>
        <v>5169.3919622618196</v>
      </c>
      <c r="K820" s="1">
        <f>IF(B820="North",28.6,
IF(B820="South",13,
IF(B820="East",22.6,
IF(B820="West",19,
23.5))))</f>
        <v>19</v>
      </c>
      <c r="L820" s="1">
        <f>IF(B820="North",77.2,
IF(B820="South",80.2,
IF(B820="East",88.4,
IF(B820="West",72.8,
78.9))))</f>
        <v>72.8</v>
      </c>
    </row>
    <row r="821" spans="1:12" x14ac:dyDescent="0.25">
      <c r="A821" s="5">
        <v>45496</v>
      </c>
      <c r="B821" s="1" t="s">
        <v>11</v>
      </c>
      <c r="C821" s="1" t="s">
        <v>19</v>
      </c>
      <c r="D821" s="1" t="s">
        <v>30</v>
      </c>
      <c r="E821" s="10">
        <v>11</v>
      </c>
      <c r="F821" s="10">
        <v>1792</v>
      </c>
      <c r="G821" s="1" t="s">
        <v>35</v>
      </c>
      <c r="H821" s="10">
        <f t="shared" si="24"/>
        <v>19712</v>
      </c>
      <c r="I821" s="7">
        <v>17490.918662402171</v>
      </c>
      <c r="J821" s="7">
        <f t="shared" si="25"/>
        <v>2221.0813375978287</v>
      </c>
      <c r="K821" s="1">
        <f>IF(B821="North",28.6,
IF(B821="South",13,
IF(B821="East",22.6,
IF(B821="West",19,
23.5))))</f>
        <v>19</v>
      </c>
      <c r="L821" s="1">
        <f>IF(B821="North",77.2,
IF(B821="South",80.2,
IF(B821="East",88.4,
IF(B821="West",72.8,
78.9))))</f>
        <v>72.8</v>
      </c>
    </row>
    <row r="822" spans="1:12" x14ac:dyDescent="0.25">
      <c r="A822" s="5">
        <v>45417</v>
      </c>
      <c r="B822" s="1" t="s">
        <v>11</v>
      </c>
      <c r="C822" s="1" t="s">
        <v>21</v>
      </c>
      <c r="D822" s="1" t="s">
        <v>29</v>
      </c>
      <c r="E822" s="10">
        <v>10</v>
      </c>
      <c r="F822" s="10">
        <v>974</v>
      </c>
      <c r="G822" s="1" t="s">
        <v>35</v>
      </c>
      <c r="H822" s="10">
        <f t="shared" si="24"/>
        <v>9740</v>
      </c>
      <c r="I822" s="7">
        <f>H822*0.7</f>
        <v>6818</v>
      </c>
      <c r="J822" s="7">
        <f t="shared" si="25"/>
        <v>2922</v>
      </c>
      <c r="K822" s="1">
        <f>IF(B822="North",28.6,
IF(B822="South",13,
IF(B822="East",22.6,
IF(B822="West",19,
23.5))))</f>
        <v>19</v>
      </c>
      <c r="L822" s="1">
        <f>IF(B822="North",77.2,
IF(B822="South",80.2,
IF(B822="East",88.4,
IF(B822="West",72.8,
78.9))))</f>
        <v>72.8</v>
      </c>
    </row>
    <row r="823" spans="1:12" x14ac:dyDescent="0.25">
      <c r="A823" s="5">
        <v>45526</v>
      </c>
      <c r="B823" s="1" t="s">
        <v>10</v>
      </c>
      <c r="C823" s="1" t="s">
        <v>17</v>
      </c>
      <c r="D823" s="1" t="s">
        <v>27</v>
      </c>
      <c r="E823" s="10">
        <v>4</v>
      </c>
      <c r="F823" s="10">
        <v>458</v>
      </c>
      <c r="G823" s="1" t="s">
        <v>33</v>
      </c>
      <c r="H823" s="10">
        <f t="shared" si="24"/>
        <v>1832</v>
      </c>
      <c r="I823" s="7">
        <v>1216.087899154131</v>
      </c>
      <c r="J823" s="7">
        <f t="shared" si="25"/>
        <v>615.91210084586896</v>
      </c>
      <c r="K823" s="1">
        <f>IF(B823="North",28.6,
IF(B823="South",13,
IF(B823="East",22.6,
IF(B823="West",19,
23.5))))</f>
        <v>28.6</v>
      </c>
      <c r="L823" s="1">
        <f>IF(B823="North",77.2,
IF(B823="South",80.2,
IF(B823="East",88.4,
IF(B823="West",72.8,
78.9))))</f>
        <v>77.2</v>
      </c>
    </row>
    <row r="824" spans="1:12" x14ac:dyDescent="0.25">
      <c r="A824" s="5">
        <v>45334</v>
      </c>
      <c r="B824" s="1" t="s">
        <v>12</v>
      </c>
      <c r="C824" s="1" t="s">
        <v>21</v>
      </c>
      <c r="D824" s="1" t="s">
        <v>32</v>
      </c>
      <c r="E824" s="10">
        <v>1</v>
      </c>
      <c r="F824" s="10">
        <v>1829</v>
      </c>
      <c r="G824" s="1" t="s">
        <v>35</v>
      </c>
      <c r="H824" s="10">
        <f t="shared" si="24"/>
        <v>1829</v>
      </c>
      <c r="I824" s="7">
        <v>1405.7558138114539</v>
      </c>
      <c r="J824" s="7">
        <f t="shared" si="25"/>
        <v>423.24418618854611</v>
      </c>
      <c r="K824" s="1">
        <f>IF(B824="North",28.6,
IF(B824="South",13,
IF(B824="East",22.6,
IF(B824="West",19,
23.5))))</f>
        <v>22.6</v>
      </c>
      <c r="L824" s="1">
        <f>IF(B824="North",77.2,
IF(B824="South",80.2,
IF(B824="East",88.4,
IF(B824="West",72.8,
78.9))))</f>
        <v>88.4</v>
      </c>
    </row>
    <row r="825" spans="1:12" x14ac:dyDescent="0.25">
      <c r="A825" s="5">
        <v>45531</v>
      </c>
      <c r="B825" s="1" t="s">
        <v>11</v>
      </c>
      <c r="C825" s="1" t="s">
        <v>20</v>
      </c>
      <c r="D825" s="1" t="s">
        <v>27</v>
      </c>
      <c r="E825" s="10">
        <v>15</v>
      </c>
      <c r="F825" s="10">
        <v>1910</v>
      </c>
      <c r="G825" s="1" t="s">
        <v>33</v>
      </c>
      <c r="H825" s="10">
        <f t="shared" si="24"/>
        <v>28650</v>
      </c>
      <c r="I825" s="7">
        <v>21812.634059094398</v>
      </c>
      <c r="J825" s="7">
        <f t="shared" si="25"/>
        <v>6837.3659409056017</v>
      </c>
      <c r="K825" s="1">
        <f>IF(B825="North",28.6,
IF(B825="South",13,
IF(B825="East",22.6,
IF(B825="West",19,
23.5))))</f>
        <v>19</v>
      </c>
      <c r="L825" s="1">
        <f>IF(B825="North",77.2,
IF(B825="South",80.2,
IF(B825="East",88.4,
IF(B825="West",72.8,
78.9))))</f>
        <v>72.8</v>
      </c>
    </row>
    <row r="826" spans="1:12" x14ac:dyDescent="0.25">
      <c r="A826" s="5">
        <v>45402</v>
      </c>
      <c r="B826" s="1" t="s">
        <v>11</v>
      </c>
      <c r="C826" s="1" t="s">
        <v>22</v>
      </c>
      <c r="D826" s="1" t="s">
        <v>26</v>
      </c>
      <c r="E826" s="10">
        <v>13</v>
      </c>
      <c r="F826" s="10">
        <v>423</v>
      </c>
      <c r="G826" s="1" t="s">
        <v>35</v>
      </c>
      <c r="H826" s="10">
        <f t="shared" si="24"/>
        <v>5499</v>
      </c>
      <c r="I826" s="7">
        <v>4274.4122733258218</v>
      </c>
      <c r="J826" s="7">
        <f t="shared" si="25"/>
        <v>1224.5877266741782</v>
      </c>
      <c r="K826" s="1">
        <f>IF(B826="North",28.6,
IF(B826="South",13,
IF(B826="East",22.6,
IF(B826="West",19,
23.5))))</f>
        <v>19</v>
      </c>
      <c r="L826" s="1">
        <f>IF(B826="North",77.2,
IF(B826="South",80.2,
IF(B826="East",88.4,
IF(B826="West",72.8,
78.9))))</f>
        <v>72.8</v>
      </c>
    </row>
    <row r="827" spans="1:12" x14ac:dyDescent="0.25">
      <c r="A827" s="5">
        <v>45540</v>
      </c>
      <c r="B827" s="1" t="s">
        <v>11</v>
      </c>
      <c r="C827" s="1" t="s">
        <v>17</v>
      </c>
      <c r="D827" s="1" t="s">
        <v>29</v>
      </c>
      <c r="E827" s="10">
        <v>8</v>
      </c>
      <c r="F827" s="10">
        <v>1821</v>
      </c>
      <c r="G827" s="1" t="s">
        <v>33</v>
      </c>
      <c r="H827" s="10">
        <f t="shared" si="24"/>
        <v>14568</v>
      </c>
      <c r="I827" s="7">
        <v>10259.66199337079</v>
      </c>
      <c r="J827" s="7">
        <f t="shared" si="25"/>
        <v>4308.3380066292102</v>
      </c>
      <c r="K827" s="1">
        <f>IF(B827="North",28.6,
IF(B827="South",13,
IF(B827="East",22.6,
IF(B827="West",19,
23.5))))</f>
        <v>19</v>
      </c>
      <c r="L827" s="1">
        <f>IF(B827="North",77.2,
IF(B827="South",80.2,
IF(B827="East",88.4,
IF(B827="West",72.8,
78.9))))</f>
        <v>72.8</v>
      </c>
    </row>
    <row r="828" spans="1:12" x14ac:dyDescent="0.25">
      <c r="A828" s="5">
        <v>45442</v>
      </c>
      <c r="B828" s="1" t="s">
        <v>10</v>
      </c>
      <c r="C828" s="1" t="s">
        <v>19</v>
      </c>
      <c r="D828" s="1" t="s">
        <v>30</v>
      </c>
      <c r="E828" s="10">
        <v>4</v>
      </c>
      <c r="F828" s="10">
        <v>1449</v>
      </c>
      <c r="G828" s="1" t="s">
        <v>35</v>
      </c>
      <c r="H828" s="10">
        <f t="shared" si="24"/>
        <v>5796</v>
      </c>
      <c r="I828" s="7">
        <v>3487.8535993359651</v>
      </c>
      <c r="J828" s="7">
        <f t="shared" si="25"/>
        <v>2308.1464006640349</v>
      </c>
      <c r="K828" s="1">
        <f>IF(B828="North",28.6,
IF(B828="South",13,
IF(B828="East",22.6,
IF(B828="West",19,
23.5))))</f>
        <v>28.6</v>
      </c>
      <c r="L828" s="1">
        <f>IF(B828="North",77.2,
IF(B828="South",80.2,
IF(B828="East",88.4,
IF(B828="West",72.8,
78.9))))</f>
        <v>77.2</v>
      </c>
    </row>
    <row r="829" spans="1:12" x14ac:dyDescent="0.25">
      <c r="A829" s="5">
        <v>45474</v>
      </c>
      <c r="B829" s="1" t="s">
        <v>10</v>
      </c>
      <c r="C829" s="1" t="s">
        <v>20</v>
      </c>
      <c r="D829" s="1" t="s">
        <v>32</v>
      </c>
      <c r="E829" s="10">
        <v>10</v>
      </c>
      <c r="F829" s="10">
        <v>1748</v>
      </c>
      <c r="G829" s="1" t="s">
        <v>33</v>
      </c>
      <c r="H829" s="10">
        <f t="shared" si="24"/>
        <v>17480</v>
      </c>
      <c r="I829" s="7">
        <v>10671.705988020591</v>
      </c>
      <c r="J829" s="7">
        <f t="shared" si="25"/>
        <v>6808.2940119794093</v>
      </c>
      <c r="K829" s="1">
        <f>IF(B829="North",28.6,
IF(B829="South",13,
IF(B829="East",22.6,
IF(B829="West",19,
23.5))))</f>
        <v>28.6</v>
      </c>
      <c r="L829" s="1">
        <f>IF(B829="North",77.2,
IF(B829="South",80.2,
IF(B829="East",88.4,
IF(B829="West",72.8,
78.9))))</f>
        <v>77.2</v>
      </c>
    </row>
    <row r="830" spans="1:12" x14ac:dyDescent="0.25">
      <c r="A830" s="5">
        <v>45627</v>
      </c>
      <c r="B830" s="1" t="s">
        <v>13</v>
      </c>
      <c r="C830" s="1" t="s">
        <v>17</v>
      </c>
      <c r="D830" s="1" t="s">
        <v>32</v>
      </c>
      <c r="E830" s="10">
        <v>19</v>
      </c>
      <c r="F830" s="10">
        <v>1948</v>
      </c>
      <c r="G830" s="1" t="s">
        <v>33</v>
      </c>
      <c r="H830" s="10">
        <f t="shared" si="24"/>
        <v>37012</v>
      </c>
      <c r="I830" s="7">
        <v>29578.063497051011</v>
      </c>
      <c r="J830" s="7">
        <f t="shared" si="25"/>
        <v>7433.9365029489891</v>
      </c>
      <c r="K830" s="1">
        <f>IF(B830="North",28.6,
IF(B830="South",13,
IF(B830="East",22.6,
IF(B830="West",19,
23.5))))</f>
        <v>13</v>
      </c>
      <c r="L830" s="1">
        <f>IF(B830="North",77.2,
IF(B830="South",80.2,
IF(B830="East",88.4,
IF(B830="West",72.8,
78.9))))</f>
        <v>80.2</v>
      </c>
    </row>
    <row r="831" spans="1:12" x14ac:dyDescent="0.25">
      <c r="A831" s="5">
        <v>45386</v>
      </c>
      <c r="B831" s="1" t="s">
        <v>12</v>
      </c>
      <c r="C831" s="1" t="s">
        <v>20</v>
      </c>
      <c r="D831" s="1" t="s">
        <v>28</v>
      </c>
      <c r="E831" s="10">
        <v>18</v>
      </c>
      <c r="F831" s="10">
        <v>264</v>
      </c>
      <c r="G831" s="1" t="s">
        <v>33</v>
      </c>
      <c r="H831" s="10">
        <f t="shared" si="24"/>
        <v>4752</v>
      </c>
      <c r="I831" s="7">
        <v>3597.156673450454</v>
      </c>
      <c r="J831" s="7">
        <f t="shared" si="25"/>
        <v>1154.843326549546</v>
      </c>
      <c r="K831" s="1">
        <f>IF(B831="North",28.6,
IF(B831="South",13,
IF(B831="East",22.6,
IF(B831="West",19,
23.5))))</f>
        <v>22.6</v>
      </c>
      <c r="L831" s="1">
        <f>IF(B831="North",77.2,
IF(B831="South",80.2,
IF(B831="East",88.4,
IF(B831="West",72.8,
78.9))))</f>
        <v>88.4</v>
      </c>
    </row>
    <row r="832" spans="1:12" x14ac:dyDescent="0.25">
      <c r="A832" s="5">
        <v>45299</v>
      </c>
      <c r="B832" s="1" t="s">
        <v>13</v>
      </c>
      <c r="C832" s="1" t="s">
        <v>18</v>
      </c>
      <c r="D832" s="1" t="s">
        <v>26</v>
      </c>
      <c r="E832" s="10">
        <v>5</v>
      </c>
      <c r="F832" s="10">
        <v>1696</v>
      </c>
      <c r="G832" s="1" t="s">
        <v>34</v>
      </c>
      <c r="H832" s="10">
        <f t="shared" si="24"/>
        <v>8480</v>
      </c>
      <c r="I832" s="7">
        <v>7176.6526445528407</v>
      </c>
      <c r="J832" s="7">
        <f t="shared" si="25"/>
        <v>1303.3473554471593</v>
      </c>
      <c r="K832" s="1">
        <f>IF(B832="North",28.6,
IF(B832="South",13,
IF(B832="East",22.6,
IF(B832="West",19,
23.5))))</f>
        <v>13</v>
      </c>
      <c r="L832" s="1">
        <f>IF(B832="North",77.2,
IF(B832="South",80.2,
IF(B832="East",88.4,
IF(B832="West",72.8,
78.9))))</f>
        <v>80.2</v>
      </c>
    </row>
    <row r="833" spans="1:12" x14ac:dyDescent="0.25">
      <c r="A833" s="5">
        <v>45651</v>
      </c>
      <c r="B833" s="1" t="s">
        <v>12</v>
      </c>
      <c r="C833" s="1" t="s">
        <v>20</v>
      </c>
      <c r="D833" s="1" t="s">
        <v>25</v>
      </c>
      <c r="E833" s="10">
        <v>19</v>
      </c>
      <c r="F833" s="10">
        <v>1727</v>
      </c>
      <c r="G833" s="1" t="s">
        <v>33</v>
      </c>
      <c r="H833" s="10">
        <f t="shared" si="24"/>
        <v>32813</v>
      </c>
      <c r="I833" s="7">
        <v>22645.004608911349</v>
      </c>
      <c r="J833" s="7">
        <f t="shared" si="25"/>
        <v>10167.995391088651</v>
      </c>
      <c r="K833" s="1">
        <f>IF(B833="North",28.6,
IF(B833="South",13,
IF(B833="East",22.6,
IF(B833="West",19,
23.5))))</f>
        <v>22.6</v>
      </c>
      <c r="L833" s="1">
        <f>IF(B833="North",77.2,
IF(B833="South",80.2,
IF(B833="East",88.4,
IF(B833="West",72.8,
78.9))))</f>
        <v>88.4</v>
      </c>
    </row>
    <row r="834" spans="1:12" x14ac:dyDescent="0.25">
      <c r="A834" s="5">
        <v>45475</v>
      </c>
      <c r="B834" s="1" t="s">
        <v>10</v>
      </c>
      <c r="C834" s="1" t="s">
        <v>19</v>
      </c>
      <c r="D834" s="1" t="s">
        <v>25</v>
      </c>
      <c r="E834" s="10">
        <v>16</v>
      </c>
      <c r="F834" s="10">
        <v>897</v>
      </c>
      <c r="G834" s="1" t="s">
        <v>35</v>
      </c>
      <c r="H834" s="10">
        <f t="shared" si="24"/>
        <v>14352</v>
      </c>
      <c r="I834" s="7">
        <v>12122.29726462255</v>
      </c>
      <c r="J834" s="7">
        <f t="shared" si="25"/>
        <v>2229.7027353774502</v>
      </c>
      <c r="K834" s="1">
        <f>IF(B834="North",28.6,
IF(B834="South",13,
IF(B834="East",22.6,
IF(B834="West",19,
23.5))))</f>
        <v>28.6</v>
      </c>
      <c r="L834" s="1">
        <f>IF(B834="North",77.2,
IF(B834="South",80.2,
IF(B834="East",88.4,
IF(B834="West",72.8,
78.9))))</f>
        <v>77.2</v>
      </c>
    </row>
    <row r="835" spans="1:12" x14ac:dyDescent="0.25">
      <c r="A835" s="5">
        <v>45572</v>
      </c>
      <c r="B835" s="1" t="s">
        <v>36</v>
      </c>
      <c r="C835" s="1" t="s">
        <v>23</v>
      </c>
      <c r="D835" s="1" t="s">
        <v>32</v>
      </c>
      <c r="E835" s="10">
        <v>1</v>
      </c>
      <c r="F835" s="10">
        <v>554</v>
      </c>
      <c r="G835" s="1" t="s">
        <v>34</v>
      </c>
      <c r="H835" s="10">
        <f t="shared" ref="H835:H898" si="26">E835*F835</f>
        <v>554</v>
      </c>
      <c r="I835" s="7">
        <v>403.11667291564652</v>
      </c>
      <c r="J835" s="7">
        <f t="shared" ref="J835:J898" si="27">H835-I835</f>
        <v>150.88332708435348</v>
      </c>
      <c r="K835" s="1">
        <f>IF(B835="North",28.6,
IF(B835="South",13,
IF(B835="East",22.6,
IF(B835="West",19,
23.5))))</f>
        <v>23.5</v>
      </c>
      <c r="L835" s="1">
        <f>IF(B835="North",77.2,
IF(B835="South",80.2,
IF(B835="East",88.4,
IF(B835="West",72.8,
78.9))))</f>
        <v>78.900000000000006</v>
      </c>
    </row>
    <row r="836" spans="1:12" x14ac:dyDescent="0.25">
      <c r="A836" s="5">
        <v>45486</v>
      </c>
      <c r="B836" s="1" t="s">
        <v>13</v>
      </c>
      <c r="C836" s="1" t="s">
        <v>24</v>
      </c>
      <c r="D836" s="1" t="s">
        <v>29</v>
      </c>
      <c r="E836" s="10">
        <v>12</v>
      </c>
      <c r="F836" s="10">
        <v>1276</v>
      </c>
      <c r="G836" s="1" t="s">
        <v>35</v>
      </c>
      <c r="H836" s="10">
        <f t="shared" si="26"/>
        <v>15312</v>
      </c>
      <c r="I836" s="7">
        <v>9631.3937038456552</v>
      </c>
      <c r="J836" s="7">
        <f t="shared" si="27"/>
        <v>5680.6062961543448</v>
      </c>
      <c r="K836" s="1">
        <f>IF(B836="North",28.6,
IF(B836="South",13,
IF(B836="East",22.6,
IF(B836="West",19,
23.5))))</f>
        <v>13</v>
      </c>
      <c r="L836" s="1">
        <f>IF(B836="North",77.2,
IF(B836="South",80.2,
IF(B836="East",88.4,
IF(B836="West",72.8,
78.9))))</f>
        <v>80.2</v>
      </c>
    </row>
    <row r="837" spans="1:12" x14ac:dyDescent="0.25">
      <c r="A837" s="5">
        <v>45643</v>
      </c>
      <c r="B837" s="1" t="s">
        <v>11</v>
      </c>
      <c r="C837" s="1" t="s">
        <v>17</v>
      </c>
      <c r="D837" s="1" t="s">
        <v>30</v>
      </c>
      <c r="E837" s="10">
        <v>2</v>
      </c>
      <c r="F837" s="10">
        <v>1860</v>
      </c>
      <c r="G837" s="1" t="s">
        <v>33</v>
      </c>
      <c r="H837" s="10">
        <f t="shared" si="26"/>
        <v>3720</v>
      </c>
      <c r="I837" s="7">
        <v>3323.3493038512152</v>
      </c>
      <c r="J837" s="7">
        <f t="shared" si="27"/>
        <v>396.65069614878485</v>
      </c>
      <c r="K837" s="1">
        <f>IF(B837="North",28.6,
IF(B837="South",13,
IF(B837="East",22.6,
IF(B837="West",19,
23.5))))</f>
        <v>19</v>
      </c>
      <c r="L837" s="1">
        <f>IF(B837="North",77.2,
IF(B837="South",80.2,
IF(B837="East",88.4,
IF(B837="West",72.8,
78.9))))</f>
        <v>72.8</v>
      </c>
    </row>
    <row r="838" spans="1:12" x14ac:dyDescent="0.25">
      <c r="A838" s="5">
        <v>45486</v>
      </c>
      <c r="B838" s="1" t="s">
        <v>13</v>
      </c>
      <c r="C838" s="1" t="s">
        <v>18</v>
      </c>
      <c r="D838" s="1" t="s">
        <v>30</v>
      </c>
      <c r="E838" s="10">
        <v>8</v>
      </c>
      <c r="F838" s="10">
        <v>1250</v>
      </c>
      <c r="G838" s="1" t="s">
        <v>34</v>
      </c>
      <c r="H838" s="10">
        <f t="shared" si="26"/>
        <v>10000</v>
      </c>
      <c r="I838" s="7">
        <v>7535.807787436559</v>
      </c>
      <c r="J838" s="7">
        <f t="shared" si="27"/>
        <v>2464.192212563441</v>
      </c>
      <c r="K838" s="1">
        <f>IF(B838="North",28.6,
IF(B838="South",13,
IF(B838="East",22.6,
IF(B838="West",19,
23.5))))</f>
        <v>13</v>
      </c>
      <c r="L838" s="1">
        <f>IF(B838="North",77.2,
IF(B838="South",80.2,
IF(B838="East",88.4,
IF(B838="West",72.8,
78.9))))</f>
        <v>80.2</v>
      </c>
    </row>
    <row r="839" spans="1:12" x14ac:dyDescent="0.25">
      <c r="A839" s="5">
        <v>45446</v>
      </c>
      <c r="B839" s="1" t="s">
        <v>10</v>
      </c>
      <c r="C839" s="1" t="s">
        <v>19</v>
      </c>
      <c r="D839" s="1" t="s">
        <v>32</v>
      </c>
      <c r="E839" s="10">
        <v>18</v>
      </c>
      <c r="F839" s="10">
        <v>292</v>
      </c>
      <c r="G839" s="1" t="s">
        <v>35</v>
      </c>
      <c r="H839" s="10">
        <f t="shared" si="26"/>
        <v>5256</v>
      </c>
      <c r="I839" s="7">
        <v>4146.1617208158277</v>
      </c>
      <c r="J839" s="7">
        <f t="shared" si="27"/>
        <v>1109.8382791841723</v>
      </c>
      <c r="K839" s="1">
        <f>IF(B839="North",28.6,
IF(B839="South",13,
IF(B839="East",22.6,
IF(B839="West",19,
23.5))))</f>
        <v>28.6</v>
      </c>
      <c r="L839" s="1">
        <f>IF(B839="North",77.2,
IF(B839="South",80.2,
IF(B839="East",88.4,
IF(B839="West",72.8,
78.9))))</f>
        <v>77.2</v>
      </c>
    </row>
    <row r="840" spans="1:12" x14ac:dyDescent="0.25">
      <c r="A840" s="5">
        <v>45384</v>
      </c>
      <c r="B840" s="1" t="s">
        <v>10</v>
      </c>
      <c r="C840" s="1" t="s">
        <v>20</v>
      </c>
      <c r="D840" s="1" t="s">
        <v>27</v>
      </c>
      <c r="E840" s="10">
        <v>16</v>
      </c>
      <c r="F840" s="10">
        <v>726</v>
      </c>
      <c r="G840" s="1" t="s">
        <v>33</v>
      </c>
      <c r="H840" s="10">
        <f t="shared" si="26"/>
        <v>11616</v>
      </c>
      <c r="I840" s="7">
        <v>9307.1940354788458</v>
      </c>
      <c r="J840" s="7">
        <f t="shared" si="27"/>
        <v>2308.8059645211542</v>
      </c>
      <c r="K840" s="1">
        <f>IF(B840="North",28.6,
IF(B840="South",13,
IF(B840="East",22.6,
IF(B840="West",19,
23.5))))</f>
        <v>28.6</v>
      </c>
      <c r="L840" s="1">
        <f>IF(B840="North",77.2,
IF(B840="South",80.2,
IF(B840="East",88.4,
IF(B840="West",72.8,
78.9))))</f>
        <v>77.2</v>
      </c>
    </row>
    <row r="841" spans="1:12" x14ac:dyDescent="0.25">
      <c r="A841" s="5">
        <v>45451</v>
      </c>
      <c r="B841" s="1" t="s">
        <v>36</v>
      </c>
      <c r="C841" s="1" t="s">
        <v>18</v>
      </c>
      <c r="D841" s="1" t="s">
        <v>26</v>
      </c>
      <c r="E841" s="10">
        <v>5</v>
      </c>
      <c r="F841" s="10">
        <v>1897</v>
      </c>
      <c r="G841" s="1" t="s">
        <v>34</v>
      </c>
      <c r="H841" s="10">
        <f t="shared" si="26"/>
        <v>9485</v>
      </c>
      <c r="I841" s="7">
        <v>6722.2440637115888</v>
      </c>
      <c r="J841" s="7">
        <f t="shared" si="27"/>
        <v>2762.7559362884112</v>
      </c>
      <c r="K841" s="1">
        <f>IF(B841="North",28.6,
IF(B841="South",13,
IF(B841="East",22.6,
IF(B841="West",19,
23.5))))</f>
        <v>23.5</v>
      </c>
      <c r="L841" s="1">
        <f>IF(B841="North",77.2,
IF(B841="South",80.2,
IF(B841="East",88.4,
IF(B841="West",72.8,
78.9))))</f>
        <v>78.900000000000006</v>
      </c>
    </row>
    <row r="842" spans="1:12" x14ac:dyDescent="0.25">
      <c r="A842" s="5">
        <v>45352</v>
      </c>
      <c r="B842" s="1" t="s">
        <v>13</v>
      </c>
      <c r="C842" s="1" t="s">
        <v>19</v>
      </c>
      <c r="D842" s="1" t="s">
        <v>30</v>
      </c>
      <c r="E842" s="10">
        <v>13</v>
      </c>
      <c r="F842" s="10">
        <v>629</v>
      </c>
      <c r="G842" s="1" t="s">
        <v>35</v>
      </c>
      <c r="H842" s="10">
        <f t="shared" si="26"/>
        <v>8177</v>
      </c>
      <c r="I842" s="7">
        <v>6739.9617214538093</v>
      </c>
      <c r="J842" s="7">
        <f t="shared" si="27"/>
        <v>1437.0382785461907</v>
      </c>
      <c r="K842" s="1">
        <f>IF(B842="North",28.6,
IF(B842="South",13,
IF(B842="East",22.6,
IF(B842="West",19,
23.5))))</f>
        <v>13</v>
      </c>
      <c r="L842" s="1">
        <f>IF(B842="North",77.2,
IF(B842="South",80.2,
IF(B842="East",88.4,
IF(B842="West",72.8,
78.9))))</f>
        <v>80.2</v>
      </c>
    </row>
    <row r="843" spans="1:12" x14ac:dyDescent="0.25">
      <c r="A843" s="5">
        <v>45413</v>
      </c>
      <c r="B843" s="1" t="s">
        <v>12</v>
      </c>
      <c r="C843" s="1" t="s">
        <v>23</v>
      </c>
      <c r="D843" s="1" t="s">
        <v>32</v>
      </c>
      <c r="E843" s="10">
        <v>19</v>
      </c>
      <c r="F843" s="10">
        <v>1133</v>
      </c>
      <c r="G843" s="1" t="s">
        <v>34</v>
      </c>
      <c r="H843" s="10">
        <f t="shared" si="26"/>
        <v>21527</v>
      </c>
      <c r="I843" s="7">
        <v>18536.4678598834</v>
      </c>
      <c r="J843" s="7">
        <f t="shared" si="27"/>
        <v>2990.5321401166002</v>
      </c>
      <c r="K843" s="1">
        <f>IF(B843="North",28.6,
IF(B843="South",13,
IF(B843="East",22.6,
IF(B843="West",19,
23.5))))</f>
        <v>22.6</v>
      </c>
      <c r="L843" s="1">
        <f>IF(B843="North",77.2,
IF(B843="South",80.2,
IF(B843="East",88.4,
IF(B843="West",72.8,
78.9))))</f>
        <v>88.4</v>
      </c>
    </row>
    <row r="844" spans="1:12" x14ac:dyDescent="0.25">
      <c r="A844" s="5">
        <v>45342</v>
      </c>
      <c r="B844" s="1" t="s">
        <v>13</v>
      </c>
      <c r="C844" s="1" t="s">
        <v>18</v>
      </c>
      <c r="D844" s="1" t="s">
        <v>30</v>
      </c>
      <c r="E844" s="10">
        <v>3</v>
      </c>
      <c r="F844" s="10">
        <v>191</v>
      </c>
      <c r="G844" s="1" t="s">
        <v>34</v>
      </c>
      <c r="H844" s="10">
        <f t="shared" si="26"/>
        <v>573</v>
      </c>
      <c r="I844" s="7">
        <v>410.3574412455423</v>
      </c>
      <c r="J844" s="7">
        <f t="shared" si="27"/>
        <v>162.6425587544577</v>
      </c>
      <c r="K844" s="1">
        <f>IF(B844="North",28.6,
IF(B844="South",13,
IF(B844="East",22.6,
IF(B844="West",19,
23.5))))</f>
        <v>13</v>
      </c>
      <c r="L844" s="1">
        <f>IF(B844="North",77.2,
IF(B844="South",80.2,
IF(B844="East",88.4,
IF(B844="West",72.8,
78.9))))</f>
        <v>80.2</v>
      </c>
    </row>
    <row r="845" spans="1:12" x14ac:dyDescent="0.25">
      <c r="A845" s="5">
        <v>45568</v>
      </c>
      <c r="B845" s="1" t="s">
        <v>12</v>
      </c>
      <c r="C845" s="1" t="s">
        <v>18</v>
      </c>
      <c r="D845" s="1" t="s">
        <v>25</v>
      </c>
      <c r="E845" s="10">
        <v>8</v>
      </c>
      <c r="F845" s="10">
        <v>238</v>
      </c>
      <c r="G845" s="1" t="s">
        <v>34</v>
      </c>
      <c r="H845" s="10">
        <f t="shared" si="26"/>
        <v>1904</v>
      </c>
      <c r="I845" s="7">
        <v>1517.6789064439399</v>
      </c>
      <c r="J845" s="7">
        <f t="shared" si="27"/>
        <v>386.32109355606008</v>
      </c>
      <c r="K845" s="1">
        <f>IF(B845="North",28.6,
IF(B845="South",13,
IF(B845="East",22.6,
IF(B845="West",19,
23.5))))</f>
        <v>22.6</v>
      </c>
      <c r="L845" s="1">
        <f>IF(B845="North",77.2,
IF(B845="South",80.2,
IF(B845="East",88.4,
IF(B845="West",72.8,
78.9))))</f>
        <v>88.4</v>
      </c>
    </row>
    <row r="846" spans="1:12" x14ac:dyDescent="0.25">
      <c r="A846" s="5">
        <v>45296</v>
      </c>
      <c r="B846" s="1" t="s">
        <v>13</v>
      </c>
      <c r="C846" s="1" t="s">
        <v>24</v>
      </c>
      <c r="D846" s="1" t="s">
        <v>32</v>
      </c>
      <c r="E846" s="10">
        <v>12</v>
      </c>
      <c r="F846" s="10">
        <v>580</v>
      </c>
      <c r="G846" s="1" t="s">
        <v>35</v>
      </c>
      <c r="H846" s="10">
        <f t="shared" si="26"/>
        <v>6960</v>
      </c>
      <c r="I846" s="7">
        <v>5756.8745444644128</v>
      </c>
      <c r="J846" s="7">
        <f t="shared" si="27"/>
        <v>1203.1254555355872</v>
      </c>
      <c r="K846" s="1">
        <f>IF(B846="North",28.6,
IF(B846="South",13,
IF(B846="East",22.6,
IF(B846="West",19,
23.5))))</f>
        <v>13</v>
      </c>
      <c r="L846" s="1">
        <f>IF(B846="North",77.2,
IF(B846="South",80.2,
IF(B846="East",88.4,
IF(B846="West",72.8,
78.9))))</f>
        <v>80.2</v>
      </c>
    </row>
    <row r="847" spans="1:12" x14ac:dyDescent="0.25">
      <c r="A847" s="5">
        <v>45383</v>
      </c>
      <c r="B847" s="1" t="s">
        <v>13</v>
      </c>
      <c r="C847" s="1" t="s">
        <v>21</v>
      </c>
      <c r="D847" s="1" t="s">
        <v>26</v>
      </c>
      <c r="E847" s="10">
        <v>2</v>
      </c>
      <c r="F847" s="10">
        <v>548</v>
      </c>
      <c r="G847" s="1" t="s">
        <v>35</v>
      </c>
      <c r="H847" s="10">
        <f t="shared" si="26"/>
        <v>1096</v>
      </c>
      <c r="I847" s="7">
        <v>720.11339516016994</v>
      </c>
      <c r="J847" s="7">
        <f t="shared" si="27"/>
        <v>375.88660483983006</v>
      </c>
      <c r="K847" s="1">
        <f>IF(B847="North",28.6,
IF(B847="South",13,
IF(B847="East",22.6,
IF(B847="West",19,
23.5))))</f>
        <v>13</v>
      </c>
      <c r="L847" s="1">
        <f>IF(B847="North",77.2,
IF(B847="South",80.2,
IF(B847="East",88.4,
IF(B847="West",72.8,
78.9))))</f>
        <v>80.2</v>
      </c>
    </row>
    <row r="848" spans="1:12" x14ac:dyDescent="0.25">
      <c r="A848" s="5">
        <v>45461</v>
      </c>
      <c r="B848" s="1" t="s">
        <v>10</v>
      </c>
      <c r="C848" s="1" t="s">
        <v>17</v>
      </c>
      <c r="D848" s="1" t="s">
        <v>32</v>
      </c>
      <c r="E848" s="10">
        <v>11</v>
      </c>
      <c r="F848" s="10">
        <v>1456</v>
      </c>
      <c r="G848" s="1" t="s">
        <v>33</v>
      </c>
      <c r="H848" s="10">
        <f t="shared" si="26"/>
        <v>16016</v>
      </c>
      <c r="I848" s="7">
        <v>11207.65766630574</v>
      </c>
      <c r="J848" s="7">
        <f t="shared" si="27"/>
        <v>4808.3423336942597</v>
      </c>
      <c r="K848" s="1">
        <f>IF(B848="North",28.6,
IF(B848="South",13,
IF(B848="East",22.6,
IF(B848="West",19,
23.5))))</f>
        <v>28.6</v>
      </c>
      <c r="L848" s="1">
        <f>IF(B848="North",77.2,
IF(B848="South",80.2,
IF(B848="East",88.4,
IF(B848="West",72.8,
78.9))))</f>
        <v>77.2</v>
      </c>
    </row>
    <row r="849" spans="1:12" x14ac:dyDescent="0.25">
      <c r="A849" s="5">
        <v>45608</v>
      </c>
      <c r="B849" s="1" t="s">
        <v>11</v>
      </c>
      <c r="C849" s="1" t="s">
        <v>24</v>
      </c>
      <c r="D849" s="1" t="s">
        <v>28</v>
      </c>
      <c r="E849" s="10">
        <v>10</v>
      </c>
      <c r="F849" s="10">
        <v>968</v>
      </c>
      <c r="G849" s="1" t="s">
        <v>35</v>
      </c>
      <c r="H849" s="10">
        <f t="shared" si="26"/>
        <v>9680</v>
      </c>
      <c r="I849" s="7">
        <f>H849*0.7</f>
        <v>6776</v>
      </c>
      <c r="J849" s="7">
        <f t="shared" si="27"/>
        <v>2904</v>
      </c>
      <c r="K849" s="1">
        <f>IF(B849="North",28.6,
IF(B849="South",13,
IF(B849="East",22.6,
IF(B849="West",19,
23.5))))</f>
        <v>19</v>
      </c>
      <c r="L849" s="1">
        <f>IF(B849="North",77.2,
IF(B849="South",80.2,
IF(B849="East",88.4,
IF(B849="West",72.8,
78.9))))</f>
        <v>72.8</v>
      </c>
    </row>
    <row r="850" spans="1:12" x14ac:dyDescent="0.25">
      <c r="A850" s="5">
        <v>45313</v>
      </c>
      <c r="B850" s="1" t="s">
        <v>11</v>
      </c>
      <c r="C850" s="1" t="s">
        <v>22</v>
      </c>
      <c r="D850" s="1" t="s">
        <v>32</v>
      </c>
      <c r="E850" s="10">
        <v>18</v>
      </c>
      <c r="F850" s="10">
        <v>439</v>
      </c>
      <c r="G850" s="1" t="s">
        <v>35</v>
      </c>
      <c r="H850" s="10">
        <f t="shared" si="26"/>
        <v>7902</v>
      </c>
      <c r="I850" s="7">
        <v>6168.7953853467916</v>
      </c>
      <c r="J850" s="7">
        <f t="shared" si="27"/>
        <v>1733.2046146532084</v>
      </c>
      <c r="K850" s="1">
        <f>IF(B850="North",28.6,
IF(B850="South",13,
IF(B850="East",22.6,
IF(B850="West",19,
23.5))))</f>
        <v>19</v>
      </c>
      <c r="L850" s="1">
        <f>IF(B850="North",77.2,
IF(B850="South",80.2,
IF(B850="East",88.4,
IF(B850="West",72.8,
78.9))))</f>
        <v>72.8</v>
      </c>
    </row>
    <row r="851" spans="1:12" x14ac:dyDescent="0.25">
      <c r="A851" s="5">
        <v>45617</v>
      </c>
      <c r="B851" s="1" t="s">
        <v>12</v>
      </c>
      <c r="C851" s="1" t="s">
        <v>17</v>
      </c>
      <c r="D851" s="1" t="s">
        <v>32</v>
      </c>
      <c r="E851" s="10">
        <v>13</v>
      </c>
      <c r="F851" s="10">
        <v>1175</v>
      </c>
      <c r="G851" s="1" t="s">
        <v>33</v>
      </c>
      <c r="H851" s="10">
        <f t="shared" si="26"/>
        <v>15275</v>
      </c>
      <c r="I851" s="7">
        <v>12835.296991099071</v>
      </c>
      <c r="J851" s="7">
        <f t="shared" si="27"/>
        <v>2439.7030089009295</v>
      </c>
      <c r="K851" s="1">
        <f>IF(B851="North",28.6,
IF(B851="South",13,
IF(B851="East",22.6,
IF(B851="West",19,
23.5))))</f>
        <v>22.6</v>
      </c>
      <c r="L851" s="1">
        <f>IF(B851="North",77.2,
IF(B851="South",80.2,
IF(B851="East",88.4,
IF(B851="West",72.8,
78.9))))</f>
        <v>88.4</v>
      </c>
    </row>
    <row r="852" spans="1:12" x14ac:dyDescent="0.25">
      <c r="A852" s="5">
        <v>45292</v>
      </c>
      <c r="B852" s="1" t="s">
        <v>11</v>
      </c>
      <c r="C852" s="1" t="s">
        <v>24</v>
      </c>
      <c r="D852" s="1" t="s">
        <v>29</v>
      </c>
      <c r="E852" s="10">
        <v>5</v>
      </c>
      <c r="F852" s="10">
        <v>1830</v>
      </c>
      <c r="G852" s="1" t="s">
        <v>35</v>
      </c>
      <c r="H852" s="10">
        <f t="shared" si="26"/>
        <v>9150</v>
      </c>
      <c r="I852" s="7">
        <v>7166.7521123256429</v>
      </c>
      <c r="J852" s="7">
        <f t="shared" si="27"/>
        <v>1983.2478876743571</v>
      </c>
      <c r="K852" s="1">
        <f>IF(B852="North",28.6,
IF(B852="South",13,
IF(B852="East",22.6,
IF(B852="West",19,
23.5))))</f>
        <v>19</v>
      </c>
      <c r="L852" s="1">
        <f>IF(B852="North",77.2,
IF(B852="South",80.2,
IF(B852="East",88.4,
IF(B852="West",72.8,
78.9))))</f>
        <v>72.8</v>
      </c>
    </row>
    <row r="853" spans="1:12" x14ac:dyDescent="0.25">
      <c r="A853" s="5">
        <v>45424</v>
      </c>
      <c r="B853" s="1" t="s">
        <v>13</v>
      </c>
      <c r="C853" s="1" t="s">
        <v>20</v>
      </c>
      <c r="D853" s="1" t="s">
        <v>25</v>
      </c>
      <c r="E853" s="10">
        <v>12</v>
      </c>
      <c r="F853" s="10">
        <v>565</v>
      </c>
      <c r="G853" s="1" t="s">
        <v>33</v>
      </c>
      <c r="H853" s="10">
        <f t="shared" si="26"/>
        <v>6780</v>
      </c>
      <c r="I853" s="7">
        <v>4433.680312207307</v>
      </c>
      <c r="J853" s="7">
        <f t="shared" si="27"/>
        <v>2346.319687792693</v>
      </c>
      <c r="K853" s="1">
        <f>IF(B853="North",28.6,
IF(B853="South",13,
IF(B853="East",22.6,
IF(B853="West",19,
23.5))))</f>
        <v>13</v>
      </c>
      <c r="L853" s="1">
        <f>IF(B853="North",77.2,
IF(B853="South",80.2,
IF(B853="East",88.4,
IF(B853="West",72.8,
78.9))))</f>
        <v>80.2</v>
      </c>
    </row>
    <row r="854" spans="1:12" x14ac:dyDescent="0.25">
      <c r="A854" s="5">
        <v>45524</v>
      </c>
      <c r="B854" s="1" t="s">
        <v>13</v>
      </c>
      <c r="C854" s="1" t="s">
        <v>17</v>
      </c>
      <c r="D854" s="1" t="s">
        <v>26</v>
      </c>
      <c r="E854" s="10">
        <v>2</v>
      </c>
      <c r="F854" s="10">
        <v>817</v>
      </c>
      <c r="G854" s="1" t="s">
        <v>33</v>
      </c>
      <c r="H854" s="10">
        <f t="shared" si="26"/>
        <v>1634</v>
      </c>
      <c r="I854" s="7">
        <v>1248.229834301012</v>
      </c>
      <c r="J854" s="7">
        <f t="shared" si="27"/>
        <v>385.77016569898797</v>
      </c>
      <c r="K854" s="1">
        <f>IF(B854="North",28.6,
IF(B854="South",13,
IF(B854="East",22.6,
IF(B854="West",19,
23.5))))</f>
        <v>13</v>
      </c>
      <c r="L854" s="1">
        <f>IF(B854="North",77.2,
IF(B854="South",80.2,
IF(B854="East",88.4,
IF(B854="West",72.8,
78.9))))</f>
        <v>80.2</v>
      </c>
    </row>
    <row r="855" spans="1:12" x14ac:dyDescent="0.25">
      <c r="A855" s="5">
        <v>45303</v>
      </c>
      <c r="B855" s="1" t="s">
        <v>10</v>
      </c>
      <c r="C855" s="1" t="s">
        <v>17</v>
      </c>
      <c r="D855" s="1" t="s">
        <v>29</v>
      </c>
      <c r="E855" s="10">
        <v>5</v>
      </c>
      <c r="F855" s="10">
        <v>898</v>
      </c>
      <c r="G855" s="1" t="s">
        <v>33</v>
      </c>
      <c r="H855" s="10">
        <f t="shared" si="26"/>
        <v>4490</v>
      </c>
      <c r="I855" s="7">
        <v>3818.6562980650742</v>
      </c>
      <c r="J855" s="7">
        <f t="shared" si="27"/>
        <v>671.34370193492578</v>
      </c>
      <c r="K855" s="1">
        <f>IF(B855="North",28.6,
IF(B855="South",13,
IF(B855="East",22.6,
IF(B855="West",19,
23.5))))</f>
        <v>28.6</v>
      </c>
      <c r="L855" s="1">
        <f>IF(B855="North",77.2,
IF(B855="South",80.2,
IF(B855="East",88.4,
IF(B855="West",72.8,
78.9))))</f>
        <v>77.2</v>
      </c>
    </row>
    <row r="856" spans="1:12" x14ac:dyDescent="0.25">
      <c r="A856" s="5">
        <v>45637</v>
      </c>
      <c r="B856" s="1" t="s">
        <v>10</v>
      </c>
      <c r="C856" s="1" t="s">
        <v>19</v>
      </c>
      <c r="D856" s="1" t="s">
        <v>32</v>
      </c>
      <c r="E856" s="10">
        <v>7</v>
      </c>
      <c r="F856" s="10">
        <v>574</v>
      </c>
      <c r="G856" s="1" t="s">
        <v>35</v>
      </c>
      <c r="H856" s="10">
        <f t="shared" si="26"/>
        <v>4018</v>
      </c>
      <c r="I856" s="7">
        <v>2775.7044691926849</v>
      </c>
      <c r="J856" s="7">
        <f t="shared" si="27"/>
        <v>1242.2955308073151</v>
      </c>
      <c r="K856" s="1">
        <f>IF(B856="North",28.6,
IF(B856="South",13,
IF(B856="East",22.6,
IF(B856="West",19,
23.5))))</f>
        <v>28.6</v>
      </c>
      <c r="L856" s="1">
        <f>IF(B856="North",77.2,
IF(B856="South",80.2,
IF(B856="East",88.4,
IF(B856="West",72.8,
78.9))))</f>
        <v>77.2</v>
      </c>
    </row>
    <row r="857" spans="1:12" x14ac:dyDescent="0.25">
      <c r="A857" s="5">
        <v>45337</v>
      </c>
      <c r="B857" s="1" t="s">
        <v>11</v>
      </c>
      <c r="C857" s="1" t="s">
        <v>20</v>
      </c>
      <c r="D857" s="1" t="s">
        <v>26</v>
      </c>
      <c r="E857" s="10">
        <v>12</v>
      </c>
      <c r="F857" s="10">
        <v>500</v>
      </c>
      <c r="G857" s="1" t="s">
        <v>33</v>
      </c>
      <c r="H857" s="10">
        <f t="shared" si="26"/>
        <v>6000</v>
      </c>
      <c r="I857" s="7">
        <v>5098.7727040547516</v>
      </c>
      <c r="J857" s="7">
        <f t="shared" si="27"/>
        <v>901.22729594524844</v>
      </c>
      <c r="K857" s="1">
        <f>IF(B857="North",28.6,
IF(B857="South",13,
IF(B857="East",22.6,
IF(B857="West",19,
23.5))))</f>
        <v>19</v>
      </c>
      <c r="L857" s="1">
        <f>IF(B857="North",77.2,
IF(B857="South",80.2,
IF(B857="East",88.4,
IF(B857="West",72.8,
78.9))))</f>
        <v>72.8</v>
      </c>
    </row>
    <row r="858" spans="1:12" x14ac:dyDescent="0.25">
      <c r="A858" s="5">
        <v>45325</v>
      </c>
      <c r="B858" s="1" t="s">
        <v>12</v>
      </c>
      <c r="C858" s="1" t="s">
        <v>22</v>
      </c>
      <c r="D858" s="1" t="s">
        <v>28</v>
      </c>
      <c r="E858" s="10">
        <v>16</v>
      </c>
      <c r="F858" s="10">
        <v>1562</v>
      </c>
      <c r="G858" s="1" t="s">
        <v>35</v>
      </c>
      <c r="H858" s="10">
        <f t="shared" si="26"/>
        <v>24992</v>
      </c>
      <c r="I858" s="7">
        <v>20877.991532393859</v>
      </c>
      <c r="J858" s="7">
        <f t="shared" si="27"/>
        <v>4114.0084676061415</v>
      </c>
      <c r="K858" s="1">
        <f>IF(B858="North",28.6,
IF(B858="South",13,
IF(B858="East",22.6,
IF(B858="West",19,
23.5))))</f>
        <v>22.6</v>
      </c>
      <c r="L858" s="1">
        <f>IF(B858="North",77.2,
IF(B858="South",80.2,
IF(B858="East",88.4,
IF(B858="West",72.8,
78.9))))</f>
        <v>88.4</v>
      </c>
    </row>
    <row r="859" spans="1:12" x14ac:dyDescent="0.25">
      <c r="A859" s="5">
        <v>45369</v>
      </c>
      <c r="B859" s="1" t="s">
        <v>11</v>
      </c>
      <c r="C859" s="1" t="s">
        <v>21</v>
      </c>
      <c r="D859" s="1" t="s">
        <v>26</v>
      </c>
      <c r="E859" s="10">
        <v>8</v>
      </c>
      <c r="F859" s="10">
        <v>704</v>
      </c>
      <c r="G859" s="1" t="s">
        <v>35</v>
      </c>
      <c r="H859" s="10">
        <f t="shared" si="26"/>
        <v>5632</v>
      </c>
      <c r="I859" s="7">
        <v>3415.9332689208459</v>
      </c>
      <c r="J859" s="7">
        <f t="shared" si="27"/>
        <v>2216.0667310791541</v>
      </c>
      <c r="K859" s="1">
        <f>IF(B859="North",28.6,
IF(B859="South",13,
IF(B859="East",22.6,
IF(B859="West",19,
23.5))))</f>
        <v>19</v>
      </c>
      <c r="L859" s="1">
        <f>IF(B859="North",77.2,
IF(B859="South",80.2,
IF(B859="East",88.4,
IF(B859="West",72.8,
78.9))))</f>
        <v>72.8</v>
      </c>
    </row>
    <row r="860" spans="1:12" x14ac:dyDescent="0.25">
      <c r="A860" s="5">
        <v>45509</v>
      </c>
      <c r="B860" s="1" t="s">
        <v>11</v>
      </c>
      <c r="C860" s="1" t="s">
        <v>18</v>
      </c>
      <c r="D860" s="1" t="s">
        <v>30</v>
      </c>
      <c r="E860" s="10">
        <v>9</v>
      </c>
      <c r="F860" s="10">
        <v>1031</v>
      </c>
      <c r="G860" s="1" t="s">
        <v>34</v>
      </c>
      <c r="H860" s="10">
        <f t="shared" si="26"/>
        <v>9279</v>
      </c>
      <c r="I860" s="7">
        <v>6233.9703659698116</v>
      </c>
      <c r="J860" s="7">
        <f t="shared" si="27"/>
        <v>3045.0296340301884</v>
      </c>
      <c r="K860" s="1">
        <f>IF(B860="North",28.6,
IF(B860="South",13,
IF(B860="East",22.6,
IF(B860="West",19,
23.5))))</f>
        <v>19</v>
      </c>
      <c r="L860" s="1">
        <f>IF(B860="North",77.2,
IF(B860="South",80.2,
IF(B860="East",88.4,
IF(B860="West",72.8,
78.9))))</f>
        <v>72.8</v>
      </c>
    </row>
    <row r="861" spans="1:12" x14ac:dyDescent="0.25">
      <c r="A861" s="5">
        <v>45592</v>
      </c>
      <c r="B861" s="1" t="s">
        <v>11</v>
      </c>
      <c r="C861" s="1" t="s">
        <v>23</v>
      </c>
      <c r="D861" s="1" t="s">
        <v>29</v>
      </c>
      <c r="E861" s="10">
        <v>15</v>
      </c>
      <c r="F861" s="10">
        <v>1096</v>
      </c>
      <c r="G861" s="1" t="s">
        <v>34</v>
      </c>
      <c r="H861" s="10">
        <f t="shared" si="26"/>
        <v>16440</v>
      </c>
      <c r="I861" s="7">
        <v>12541.79194539438</v>
      </c>
      <c r="J861" s="7">
        <f t="shared" si="27"/>
        <v>3898.2080546056204</v>
      </c>
      <c r="K861" s="1">
        <f>IF(B861="North",28.6,
IF(B861="South",13,
IF(B861="East",22.6,
IF(B861="West",19,
23.5))))</f>
        <v>19</v>
      </c>
      <c r="L861" s="1">
        <f>IF(B861="North",77.2,
IF(B861="South",80.2,
IF(B861="East",88.4,
IF(B861="West",72.8,
78.9))))</f>
        <v>72.8</v>
      </c>
    </row>
    <row r="862" spans="1:12" x14ac:dyDescent="0.25">
      <c r="A862" s="5">
        <v>45364</v>
      </c>
      <c r="B862" s="1" t="s">
        <v>11</v>
      </c>
      <c r="C862" s="1" t="s">
        <v>24</v>
      </c>
      <c r="D862" s="1" t="s">
        <v>26</v>
      </c>
      <c r="E862" s="10">
        <v>5</v>
      </c>
      <c r="F862" s="10">
        <v>1021</v>
      </c>
      <c r="G862" s="1" t="s">
        <v>35</v>
      </c>
      <c r="H862" s="10">
        <f t="shared" si="26"/>
        <v>5105</v>
      </c>
      <c r="I862" s="7">
        <v>4162.0310021844953</v>
      </c>
      <c r="J862" s="7">
        <f t="shared" si="27"/>
        <v>942.96899781550474</v>
      </c>
      <c r="K862" s="1">
        <f>IF(B862="North",28.6,
IF(B862="South",13,
IF(B862="East",22.6,
IF(B862="West",19,
23.5))))</f>
        <v>19</v>
      </c>
      <c r="L862" s="1">
        <f>IF(B862="North",77.2,
IF(B862="South",80.2,
IF(B862="East",88.4,
IF(B862="West",72.8,
78.9))))</f>
        <v>72.8</v>
      </c>
    </row>
    <row r="863" spans="1:12" x14ac:dyDescent="0.25">
      <c r="A863" s="5">
        <v>45573</v>
      </c>
      <c r="B863" s="1" t="s">
        <v>13</v>
      </c>
      <c r="C863" s="1" t="s">
        <v>19</v>
      </c>
      <c r="D863" s="1" t="s">
        <v>25</v>
      </c>
      <c r="E863" s="10">
        <v>13</v>
      </c>
      <c r="F863" s="10">
        <v>920</v>
      </c>
      <c r="G863" s="1" t="s">
        <v>35</v>
      </c>
      <c r="H863" s="10">
        <f t="shared" si="26"/>
        <v>11960</v>
      </c>
      <c r="I863" s="7">
        <v>10335.34352604235</v>
      </c>
      <c r="J863" s="7">
        <f t="shared" si="27"/>
        <v>1624.6564739576497</v>
      </c>
      <c r="K863" s="1">
        <f>IF(B863="North",28.6,
IF(B863="South",13,
IF(B863="East",22.6,
IF(B863="West",19,
23.5))))</f>
        <v>13</v>
      </c>
      <c r="L863" s="1">
        <f>IF(B863="North",77.2,
IF(B863="South",80.2,
IF(B863="East",88.4,
IF(B863="West",72.8,
78.9))))</f>
        <v>80.2</v>
      </c>
    </row>
    <row r="864" spans="1:12" x14ac:dyDescent="0.25">
      <c r="A864" s="5">
        <v>45540</v>
      </c>
      <c r="B864" s="1" t="s">
        <v>12</v>
      </c>
      <c r="C864" s="1" t="s">
        <v>24</v>
      </c>
      <c r="D864" s="1" t="s">
        <v>28</v>
      </c>
      <c r="E864" s="10">
        <v>5</v>
      </c>
      <c r="F864" s="10">
        <v>756</v>
      </c>
      <c r="G864" s="1" t="s">
        <v>35</v>
      </c>
      <c r="H864" s="10">
        <f t="shared" si="26"/>
        <v>3780</v>
      </c>
      <c r="I864" s="7">
        <v>2994.9419889157921</v>
      </c>
      <c r="J864" s="7">
        <f t="shared" si="27"/>
        <v>785.05801108420792</v>
      </c>
      <c r="K864" s="1">
        <f>IF(B864="North",28.6,
IF(B864="South",13,
IF(B864="East",22.6,
IF(B864="West",19,
23.5))))</f>
        <v>22.6</v>
      </c>
      <c r="L864" s="1">
        <f>IF(B864="North",77.2,
IF(B864="South",80.2,
IF(B864="East",88.4,
IF(B864="West",72.8,
78.9))))</f>
        <v>88.4</v>
      </c>
    </row>
    <row r="865" spans="1:12" x14ac:dyDescent="0.25">
      <c r="A865" s="5">
        <v>45338</v>
      </c>
      <c r="B865" s="1" t="s">
        <v>13</v>
      </c>
      <c r="C865" s="1" t="s">
        <v>22</v>
      </c>
      <c r="D865" s="1" t="s">
        <v>31</v>
      </c>
      <c r="E865" s="10">
        <v>11</v>
      </c>
      <c r="F865" s="10">
        <v>697</v>
      </c>
      <c r="G865" s="1" t="s">
        <v>35</v>
      </c>
      <c r="H865" s="10">
        <f t="shared" si="26"/>
        <v>7667</v>
      </c>
      <c r="I865" s="7">
        <v>5475.0296282910649</v>
      </c>
      <c r="J865" s="7">
        <f t="shared" si="27"/>
        <v>2191.9703717089351</v>
      </c>
      <c r="K865" s="1">
        <f>IF(B865="North",28.6,
IF(B865="South",13,
IF(B865="East",22.6,
IF(B865="West",19,
23.5))))</f>
        <v>13</v>
      </c>
      <c r="L865" s="1">
        <f>IF(B865="North",77.2,
IF(B865="South",80.2,
IF(B865="East",88.4,
IF(B865="West",72.8,
78.9))))</f>
        <v>80.2</v>
      </c>
    </row>
    <row r="866" spans="1:12" x14ac:dyDescent="0.25">
      <c r="A866" s="5">
        <v>45412</v>
      </c>
      <c r="B866" s="1" t="s">
        <v>12</v>
      </c>
      <c r="C866" s="1" t="s">
        <v>18</v>
      </c>
      <c r="D866" s="1" t="s">
        <v>32</v>
      </c>
      <c r="E866" s="10">
        <v>10</v>
      </c>
      <c r="F866" s="10">
        <v>1632</v>
      </c>
      <c r="G866" s="1" t="s">
        <v>34</v>
      </c>
      <c r="H866" s="10">
        <f t="shared" si="26"/>
        <v>16320</v>
      </c>
      <c r="I866" s="7">
        <v>10695.934804185899</v>
      </c>
      <c r="J866" s="7">
        <f t="shared" si="27"/>
        <v>5624.0651958141007</v>
      </c>
      <c r="K866" s="1">
        <f>IF(B866="North",28.6,
IF(B866="South",13,
IF(B866="East",22.6,
IF(B866="West",19,
23.5))))</f>
        <v>22.6</v>
      </c>
      <c r="L866" s="1">
        <f>IF(B866="North",77.2,
IF(B866="South",80.2,
IF(B866="East",88.4,
IF(B866="West",72.8,
78.9))))</f>
        <v>88.4</v>
      </c>
    </row>
    <row r="867" spans="1:12" x14ac:dyDescent="0.25">
      <c r="A867" s="5">
        <v>45505</v>
      </c>
      <c r="B867" s="1" t="s">
        <v>10</v>
      </c>
      <c r="C867" s="1" t="s">
        <v>22</v>
      </c>
      <c r="D867" s="1" t="s">
        <v>26</v>
      </c>
      <c r="E867" s="10">
        <v>13</v>
      </c>
      <c r="F867" s="10">
        <v>1276</v>
      </c>
      <c r="G867" s="1" t="s">
        <v>35</v>
      </c>
      <c r="H867" s="10">
        <f t="shared" si="26"/>
        <v>16588</v>
      </c>
      <c r="I867" s="7">
        <v>13735.04243112324</v>
      </c>
      <c r="J867" s="7">
        <f t="shared" si="27"/>
        <v>2852.95756887676</v>
      </c>
      <c r="K867" s="1">
        <f>IF(B867="North",28.6,
IF(B867="South",13,
IF(B867="East",22.6,
IF(B867="West",19,
23.5))))</f>
        <v>28.6</v>
      </c>
      <c r="L867" s="1">
        <f>IF(B867="North",77.2,
IF(B867="South",80.2,
IF(B867="East",88.4,
IF(B867="West",72.8,
78.9))))</f>
        <v>77.2</v>
      </c>
    </row>
    <row r="868" spans="1:12" x14ac:dyDescent="0.25">
      <c r="A868" s="5">
        <v>45530</v>
      </c>
      <c r="B868" s="1" t="s">
        <v>11</v>
      </c>
      <c r="C868" s="1" t="s">
        <v>17</v>
      </c>
      <c r="D868" s="1" t="s">
        <v>32</v>
      </c>
      <c r="E868" s="10">
        <v>9</v>
      </c>
      <c r="F868" s="10">
        <v>613</v>
      </c>
      <c r="G868" s="1" t="s">
        <v>33</v>
      </c>
      <c r="H868" s="10">
        <f t="shared" si="26"/>
        <v>5517</v>
      </c>
      <c r="I868" s="7">
        <v>3652.444158837352</v>
      </c>
      <c r="J868" s="7">
        <f t="shared" si="27"/>
        <v>1864.555841162648</v>
      </c>
      <c r="K868" s="1">
        <f>IF(B868="North",28.6,
IF(B868="South",13,
IF(B868="East",22.6,
IF(B868="West",19,
23.5))))</f>
        <v>19</v>
      </c>
      <c r="L868" s="1">
        <f>IF(B868="North",77.2,
IF(B868="South",80.2,
IF(B868="East",88.4,
IF(B868="West",72.8,
78.9))))</f>
        <v>72.8</v>
      </c>
    </row>
    <row r="869" spans="1:12" x14ac:dyDescent="0.25">
      <c r="A869" s="5">
        <v>45347</v>
      </c>
      <c r="B869" s="1" t="s">
        <v>13</v>
      </c>
      <c r="C869" s="1" t="s">
        <v>23</v>
      </c>
      <c r="D869" s="1" t="s">
        <v>27</v>
      </c>
      <c r="E869" s="10">
        <v>14</v>
      </c>
      <c r="F869" s="10">
        <v>1626</v>
      </c>
      <c r="G869" s="1" t="s">
        <v>34</v>
      </c>
      <c r="H869" s="10">
        <f t="shared" si="26"/>
        <v>22764</v>
      </c>
      <c r="I869" s="7">
        <v>18407.634117210971</v>
      </c>
      <c r="J869" s="7">
        <f t="shared" si="27"/>
        <v>4356.3658827890285</v>
      </c>
      <c r="K869" s="1">
        <f>IF(B869="North",28.6,
IF(B869="South",13,
IF(B869="East",22.6,
IF(B869="West",19,
23.5))))</f>
        <v>13</v>
      </c>
      <c r="L869" s="1">
        <f>IF(B869="North",77.2,
IF(B869="South",80.2,
IF(B869="East",88.4,
IF(B869="West",72.8,
78.9))))</f>
        <v>80.2</v>
      </c>
    </row>
    <row r="870" spans="1:12" x14ac:dyDescent="0.25">
      <c r="A870" s="5">
        <v>45641</v>
      </c>
      <c r="B870" s="1" t="s">
        <v>12</v>
      </c>
      <c r="C870" s="1" t="s">
        <v>22</v>
      </c>
      <c r="D870" s="1" t="s">
        <v>30</v>
      </c>
      <c r="E870" s="10">
        <v>18</v>
      </c>
      <c r="F870" s="10">
        <v>1977</v>
      </c>
      <c r="G870" s="1" t="s">
        <v>35</v>
      </c>
      <c r="H870" s="10">
        <f t="shared" si="26"/>
        <v>35586</v>
      </c>
      <c r="I870" s="7">
        <v>23286.178984731541</v>
      </c>
      <c r="J870" s="7">
        <f t="shared" si="27"/>
        <v>12299.821015268459</v>
      </c>
      <c r="K870" s="1">
        <f>IF(B870="North",28.6,
IF(B870="South",13,
IF(B870="East",22.6,
IF(B870="West",19,
23.5))))</f>
        <v>22.6</v>
      </c>
      <c r="L870" s="1">
        <f>IF(B870="North",77.2,
IF(B870="South",80.2,
IF(B870="East",88.4,
IF(B870="West",72.8,
78.9))))</f>
        <v>88.4</v>
      </c>
    </row>
    <row r="871" spans="1:12" x14ac:dyDescent="0.25">
      <c r="A871" s="5">
        <v>45398</v>
      </c>
      <c r="B871" s="1" t="s">
        <v>10</v>
      </c>
      <c r="C871" s="1" t="s">
        <v>24</v>
      </c>
      <c r="D871" s="1" t="s">
        <v>29</v>
      </c>
      <c r="E871" s="10">
        <v>15</v>
      </c>
      <c r="F871" s="10">
        <v>1895</v>
      </c>
      <c r="G871" s="1" t="s">
        <v>35</v>
      </c>
      <c r="H871" s="10">
        <f t="shared" si="26"/>
        <v>28425</v>
      </c>
      <c r="I871" s="7">
        <v>17831.461708513962</v>
      </c>
      <c r="J871" s="7">
        <f t="shared" si="27"/>
        <v>10593.538291486038</v>
      </c>
      <c r="K871" s="1">
        <f>IF(B871="North",28.6,
IF(B871="South",13,
IF(B871="East",22.6,
IF(B871="West",19,
23.5))))</f>
        <v>28.6</v>
      </c>
      <c r="L871" s="1">
        <f>IF(B871="North",77.2,
IF(B871="South",80.2,
IF(B871="East",88.4,
IF(B871="West",72.8,
78.9))))</f>
        <v>77.2</v>
      </c>
    </row>
    <row r="872" spans="1:12" x14ac:dyDescent="0.25">
      <c r="A872" s="5">
        <v>45610</v>
      </c>
      <c r="B872" s="1" t="s">
        <v>10</v>
      </c>
      <c r="C872" s="1" t="s">
        <v>20</v>
      </c>
      <c r="D872" s="1" t="s">
        <v>30</v>
      </c>
      <c r="E872" s="10">
        <v>10</v>
      </c>
      <c r="F872" s="10">
        <v>1799</v>
      </c>
      <c r="G872" s="1" t="s">
        <v>33</v>
      </c>
      <c r="H872" s="10">
        <f t="shared" si="26"/>
        <v>17990</v>
      </c>
      <c r="I872" s="7">
        <v>12149.187907344171</v>
      </c>
      <c r="J872" s="7">
        <f t="shared" si="27"/>
        <v>5840.8120926558295</v>
      </c>
      <c r="K872" s="1">
        <f>IF(B872="North",28.6,
IF(B872="South",13,
IF(B872="East",22.6,
IF(B872="West",19,
23.5))))</f>
        <v>28.6</v>
      </c>
      <c r="L872" s="1">
        <f>IF(B872="North",77.2,
IF(B872="South",80.2,
IF(B872="East",88.4,
IF(B872="West",72.8,
78.9))))</f>
        <v>77.2</v>
      </c>
    </row>
    <row r="873" spans="1:12" x14ac:dyDescent="0.25">
      <c r="A873" s="5">
        <v>45339</v>
      </c>
      <c r="B873" s="1" t="s">
        <v>11</v>
      </c>
      <c r="C873" s="1" t="s">
        <v>20</v>
      </c>
      <c r="D873" s="1" t="s">
        <v>27</v>
      </c>
      <c r="E873" s="10">
        <v>7</v>
      </c>
      <c r="F873" s="10">
        <v>1129</v>
      </c>
      <c r="G873" s="1" t="s">
        <v>33</v>
      </c>
      <c r="H873" s="10">
        <f t="shared" si="26"/>
        <v>7903</v>
      </c>
      <c r="I873" s="7">
        <v>5417.3400759194938</v>
      </c>
      <c r="J873" s="7">
        <f t="shared" si="27"/>
        <v>2485.6599240805062</v>
      </c>
      <c r="K873" s="1">
        <f>IF(B873="North",28.6,
IF(B873="South",13,
IF(B873="East",22.6,
IF(B873="West",19,
23.5))))</f>
        <v>19</v>
      </c>
      <c r="L873" s="1">
        <f>IF(B873="North",77.2,
IF(B873="South",80.2,
IF(B873="East",88.4,
IF(B873="West",72.8,
78.9))))</f>
        <v>72.8</v>
      </c>
    </row>
    <row r="874" spans="1:12" x14ac:dyDescent="0.25">
      <c r="A874" s="5">
        <v>45352</v>
      </c>
      <c r="B874" s="1" t="s">
        <v>12</v>
      </c>
      <c r="C874" s="1" t="s">
        <v>17</v>
      </c>
      <c r="D874" s="1" t="s">
        <v>27</v>
      </c>
      <c r="E874" s="10">
        <v>8</v>
      </c>
      <c r="F874" s="10">
        <v>599</v>
      </c>
      <c r="G874" s="1" t="s">
        <v>33</v>
      </c>
      <c r="H874" s="10">
        <f t="shared" si="26"/>
        <v>4792</v>
      </c>
      <c r="I874" s="7">
        <v>3805.6278517498831</v>
      </c>
      <c r="J874" s="7">
        <f t="shared" si="27"/>
        <v>986.37214825011688</v>
      </c>
      <c r="K874" s="1">
        <f>IF(B874="North",28.6,
IF(B874="South",13,
IF(B874="East",22.6,
IF(B874="West",19,
23.5))))</f>
        <v>22.6</v>
      </c>
      <c r="L874" s="1">
        <f>IF(B874="North",77.2,
IF(B874="South",80.2,
IF(B874="East",88.4,
IF(B874="West",72.8,
78.9))))</f>
        <v>88.4</v>
      </c>
    </row>
    <row r="875" spans="1:12" x14ac:dyDescent="0.25">
      <c r="A875" s="5">
        <v>45628</v>
      </c>
      <c r="B875" s="1" t="s">
        <v>13</v>
      </c>
      <c r="C875" s="1" t="s">
        <v>40</v>
      </c>
      <c r="D875" s="1" t="s">
        <v>29</v>
      </c>
      <c r="E875" s="10">
        <v>3</v>
      </c>
      <c r="F875" s="10">
        <v>1784</v>
      </c>
      <c r="G875" s="1" t="s">
        <v>35</v>
      </c>
      <c r="H875" s="10">
        <f t="shared" si="26"/>
        <v>5352</v>
      </c>
      <c r="I875" s="7">
        <v>3469.5143352466489</v>
      </c>
      <c r="J875" s="7">
        <f t="shared" si="27"/>
        <v>1882.4856647533511</v>
      </c>
      <c r="K875" s="1">
        <f>IF(B875="North",28.6,
IF(B875="South",13,
IF(B875="East",22.6,
IF(B875="West",19,
23.5))))</f>
        <v>13</v>
      </c>
      <c r="L875" s="1">
        <f>IF(B875="North",77.2,
IF(B875="South",80.2,
IF(B875="East",88.4,
IF(B875="West",72.8,
78.9))))</f>
        <v>80.2</v>
      </c>
    </row>
    <row r="876" spans="1:12" x14ac:dyDescent="0.25">
      <c r="A876" s="5">
        <v>45317</v>
      </c>
      <c r="B876" s="1" t="s">
        <v>11</v>
      </c>
      <c r="C876" s="1" t="s">
        <v>24</v>
      </c>
      <c r="D876" s="1" t="s">
        <v>26</v>
      </c>
      <c r="E876" s="10">
        <v>15</v>
      </c>
      <c r="F876" s="10">
        <v>816</v>
      </c>
      <c r="G876" s="1" t="s">
        <v>35</v>
      </c>
      <c r="H876" s="10">
        <f t="shared" si="26"/>
        <v>12240</v>
      </c>
      <c r="I876" s="7">
        <v>10760.086984487851</v>
      </c>
      <c r="J876" s="7">
        <f t="shared" si="27"/>
        <v>1479.9130155121493</v>
      </c>
      <c r="K876" s="1">
        <f>IF(B876="North",28.6,
IF(B876="South",13,
IF(B876="East",22.6,
IF(B876="West",19,
23.5))))</f>
        <v>19</v>
      </c>
      <c r="L876" s="1">
        <f>IF(B876="North",77.2,
IF(B876="South",80.2,
IF(B876="East",88.4,
IF(B876="West",72.8,
78.9))))</f>
        <v>72.8</v>
      </c>
    </row>
    <row r="877" spans="1:12" x14ac:dyDescent="0.25">
      <c r="A877" s="5">
        <v>45583</v>
      </c>
      <c r="B877" s="1" t="s">
        <v>13</v>
      </c>
      <c r="C877" s="1" t="s">
        <v>24</v>
      </c>
      <c r="D877" s="1" t="s">
        <v>27</v>
      </c>
      <c r="E877" s="10">
        <v>16</v>
      </c>
      <c r="F877" s="10">
        <v>1241</v>
      </c>
      <c r="G877" s="1" t="s">
        <v>35</v>
      </c>
      <c r="H877" s="10">
        <f t="shared" si="26"/>
        <v>19856</v>
      </c>
      <c r="I877" s="7">
        <v>15215.821693203659</v>
      </c>
      <c r="J877" s="7">
        <f t="shared" si="27"/>
        <v>4640.1783067963406</v>
      </c>
      <c r="K877" s="1">
        <f>IF(B877="North",28.6,
IF(B877="South",13,
IF(B877="East",22.6,
IF(B877="West",19,
23.5))))</f>
        <v>13</v>
      </c>
      <c r="L877" s="1">
        <f>IF(B877="North",77.2,
IF(B877="South",80.2,
IF(B877="East",88.4,
IF(B877="West",72.8,
78.9))))</f>
        <v>80.2</v>
      </c>
    </row>
    <row r="878" spans="1:12" x14ac:dyDescent="0.25">
      <c r="A878" s="5">
        <v>45548</v>
      </c>
      <c r="B878" s="1" t="s">
        <v>10</v>
      </c>
      <c r="C878" s="1" t="s">
        <v>22</v>
      </c>
      <c r="D878" s="1" t="s">
        <v>31</v>
      </c>
      <c r="E878" s="10">
        <v>4</v>
      </c>
      <c r="F878" s="10">
        <v>1608</v>
      </c>
      <c r="G878" s="1" t="s">
        <v>35</v>
      </c>
      <c r="H878" s="10">
        <f t="shared" si="26"/>
        <v>6432</v>
      </c>
      <c r="I878" s="7">
        <v>4806.5018677834514</v>
      </c>
      <c r="J878" s="7">
        <f t="shared" si="27"/>
        <v>1625.4981322165486</v>
      </c>
      <c r="K878" s="1">
        <f>IF(B878="North",28.6,
IF(B878="South",13,
IF(B878="East",22.6,
IF(B878="West",19,
23.5))))</f>
        <v>28.6</v>
      </c>
      <c r="L878" s="1">
        <f>IF(B878="North",77.2,
IF(B878="South",80.2,
IF(B878="East",88.4,
IF(B878="West",72.8,
78.9))))</f>
        <v>77.2</v>
      </c>
    </row>
    <row r="879" spans="1:12" x14ac:dyDescent="0.25">
      <c r="A879" s="5">
        <v>45299</v>
      </c>
      <c r="B879" s="1" t="s">
        <v>13</v>
      </c>
      <c r="C879" s="1" t="s">
        <v>23</v>
      </c>
      <c r="D879" s="1" t="s">
        <v>32</v>
      </c>
      <c r="E879" s="10">
        <v>6</v>
      </c>
      <c r="F879" s="10">
        <v>700</v>
      </c>
      <c r="G879" s="1" t="s">
        <v>34</v>
      </c>
      <c r="H879" s="10">
        <f t="shared" si="26"/>
        <v>4200</v>
      </c>
      <c r="I879" s="7">
        <v>3067.7150880285431</v>
      </c>
      <c r="J879" s="7">
        <f t="shared" si="27"/>
        <v>1132.2849119714569</v>
      </c>
      <c r="K879" s="1">
        <f>IF(B879="North",28.6,
IF(B879="South",13,
IF(B879="East",22.6,
IF(B879="West",19,
23.5))))</f>
        <v>13</v>
      </c>
      <c r="L879" s="1">
        <f>IF(B879="North",77.2,
IF(B879="South",80.2,
IF(B879="East",88.4,
IF(B879="West",72.8,
78.9))))</f>
        <v>80.2</v>
      </c>
    </row>
    <row r="880" spans="1:12" x14ac:dyDescent="0.25">
      <c r="A880" s="5">
        <v>45404</v>
      </c>
      <c r="B880" s="1" t="s">
        <v>13</v>
      </c>
      <c r="C880" s="1" t="s">
        <v>24</v>
      </c>
      <c r="D880" s="1" t="s">
        <v>32</v>
      </c>
      <c r="E880" s="10">
        <v>1</v>
      </c>
      <c r="F880" s="10">
        <v>765</v>
      </c>
      <c r="G880" s="1" t="s">
        <v>35</v>
      </c>
      <c r="H880" s="10">
        <f t="shared" si="26"/>
        <v>765</v>
      </c>
      <c r="I880" s="7">
        <v>589.03500912506888</v>
      </c>
      <c r="J880" s="7">
        <f t="shared" si="27"/>
        <v>175.96499087493112</v>
      </c>
      <c r="K880" s="1">
        <f>IF(B880="North",28.6,
IF(B880="South",13,
IF(B880="East",22.6,
IF(B880="West",19,
23.5))))</f>
        <v>13</v>
      </c>
      <c r="L880" s="1">
        <f>IF(B880="North",77.2,
IF(B880="South",80.2,
IF(B880="East",88.4,
IF(B880="West",72.8,
78.9))))</f>
        <v>80.2</v>
      </c>
    </row>
    <row r="881" spans="1:12" x14ac:dyDescent="0.25">
      <c r="A881" s="5">
        <v>45646</v>
      </c>
      <c r="B881" s="1" t="s">
        <v>11</v>
      </c>
      <c r="C881" s="1" t="s">
        <v>19</v>
      </c>
      <c r="D881" s="1" t="s">
        <v>28</v>
      </c>
      <c r="E881" s="10">
        <v>4</v>
      </c>
      <c r="F881" s="10">
        <v>1802</v>
      </c>
      <c r="G881" s="1" t="s">
        <v>35</v>
      </c>
      <c r="H881" s="10">
        <f t="shared" si="26"/>
        <v>7208</v>
      </c>
      <c r="I881" s="7">
        <v>4373.3393217906378</v>
      </c>
      <c r="J881" s="7">
        <f t="shared" si="27"/>
        <v>2834.6606782093622</v>
      </c>
      <c r="K881" s="1">
        <f>IF(B881="North",28.6,
IF(B881="South",13,
IF(B881="East",22.6,
IF(B881="West",19,
23.5))))</f>
        <v>19</v>
      </c>
      <c r="L881" s="1">
        <f>IF(B881="North",77.2,
IF(B881="South",80.2,
IF(B881="East",88.4,
IF(B881="West",72.8,
78.9))))</f>
        <v>72.8</v>
      </c>
    </row>
    <row r="882" spans="1:12" x14ac:dyDescent="0.25">
      <c r="A882" s="5">
        <v>45544</v>
      </c>
      <c r="B882" s="1" t="s">
        <v>13</v>
      </c>
      <c r="C882" s="1" t="s">
        <v>21</v>
      </c>
      <c r="D882" s="1" t="s">
        <v>25</v>
      </c>
      <c r="E882" s="10">
        <v>11</v>
      </c>
      <c r="F882" s="10">
        <v>567</v>
      </c>
      <c r="G882" s="1" t="s">
        <v>35</v>
      </c>
      <c r="H882" s="10">
        <f t="shared" si="26"/>
        <v>6237</v>
      </c>
      <c r="I882" s="7">
        <v>5594.7506154749217</v>
      </c>
      <c r="J882" s="7">
        <f t="shared" si="27"/>
        <v>642.24938452507831</v>
      </c>
      <c r="K882" s="1">
        <f>IF(B882="North",28.6,
IF(B882="South",13,
IF(B882="East",22.6,
IF(B882="West",19,
23.5))))</f>
        <v>13</v>
      </c>
      <c r="L882" s="1">
        <f>IF(B882="North",77.2,
IF(B882="South",80.2,
IF(B882="East",88.4,
IF(B882="West",72.8,
78.9))))</f>
        <v>80.2</v>
      </c>
    </row>
    <row r="883" spans="1:12" x14ac:dyDescent="0.25">
      <c r="A883" s="5">
        <v>45471</v>
      </c>
      <c r="B883" s="1" t="s">
        <v>11</v>
      </c>
      <c r="C883" s="1" t="s">
        <v>22</v>
      </c>
      <c r="D883" s="1" t="s">
        <v>27</v>
      </c>
      <c r="E883" s="10">
        <v>12</v>
      </c>
      <c r="F883" s="10">
        <v>260</v>
      </c>
      <c r="G883" s="1" t="s">
        <v>35</v>
      </c>
      <c r="H883" s="10">
        <f t="shared" si="26"/>
        <v>3120</v>
      </c>
      <c r="I883" s="7">
        <v>2393.8428161178331</v>
      </c>
      <c r="J883" s="7">
        <f t="shared" si="27"/>
        <v>726.15718388216692</v>
      </c>
      <c r="K883" s="1">
        <f>IF(B883="North",28.6,
IF(B883="South",13,
IF(B883="East",22.6,
IF(B883="West",19,
23.5))))</f>
        <v>19</v>
      </c>
      <c r="L883" s="1">
        <f>IF(B883="North",77.2,
IF(B883="South",80.2,
IF(B883="East",88.4,
IF(B883="West",72.8,
78.9))))</f>
        <v>72.8</v>
      </c>
    </row>
    <row r="884" spans="1:12" x14ac:dyDescent="0.25">
      <c r="A884" s="5">
        <v>45498</v>
      </c>
      <c r="B884" s="1" t="s">
        <v>10</v>
      </c>
      <c r="C884" s="1" t="s">
        <v>19</v>
      </c>
      <c r="D884" s="1" t="s">
        <v>27</v>
      </c>
      <c r="E884" s="10">
        <v>5</v>
      </c>
      <c r="F884" s="10">
        <v>369</v>
      </c>
      <c r="G884" s="1" t="s">
        <v>35</v>
      </c>
      <c r="H884" s="10">
        <f t="shared" si="26"/>
        <v>1845</v>
      </c>
      <c r="I884" s="7">
        <v>1126.480433684588</v>
      </c>
      <c r="J884" s="7">
        <f t="shared" si="27"/>
        <v>718.51956631541202</v>
      </c>
      <c r="K884" s="1">
        <f>IF(B884="North",28.6,
IF(B884="South",13,
IF(B884="East",22.6,
IF(B884="West",19,
23.5))))</f>
        <v>28.6</v>
      </c>
      <c r="L884" s="1">
        <f>IF(B884="North",77.2,
IF(B884="South",80.2,
IF(B884="East",88.4,
IF(B884="West",72.8,
78.9))))</f>
        <v>77.2</v>
      </c>
    </row>
    <row r="885" spans="1:12" x14ac:dyDescent="0.25">
      <c r="A885" s="5">
        <v>45594</v>
      </c>
      <c r="B885" s="1" t="s">
        <v>11</v>
      </c>
      <c r="C885" s="1" t="s">
        <v>17</v>
      </c>
      <c r="D885" s="1" t="s">
        <v>31</v>
      </c>
      <c r="E885" s="10">
        <v>16</v>
      </c>
      <c r="F885" s="10">
        <v>1179</v>
      </c>
      <c r="G885" s="1" t="s">
        <v>33</v>
      </c>
      <c r="H885" s="10">
        <f t="shared" si="26"/>
        <v>18864</v>
      </c>
      <c r="I885" s="7">
        <v>14657.201260515971</v>
      </c>
      <c r="J885" s="7">
        <f t="shared" si="27"/>
        <v>4206.7987394840293</v>
      </c>
      <c r="K885" s="1">
        <f>IF(B885="North",28.6,
IF(B885="South",13,
IF(B885="East",22.6,
IF(B885="West",19,
23.5))))</f>
        <v>19</v>
      </c>
      <c r="L885" s="1">
        <f>IF(B885="North",77.2,
IF(B885="South",80.2,
IF(B885="East",88.4,
IF(B885="West",72.8,
78.9))))</f>
        <v>72.8</v>
      </c>
    </row>
    <row r="886" spans="1:12" x14ac:dyDescent="0.25">
      <c r="A886" s="5">
        <v>45418</v>
      </c>
      <c r="B886" s="1" t="s">
        <v>11</v>
      </c>
      <c r="C886" s="1" t="s">
        <v>20</v>
      </c>
      <c r="D886" s="1" t="s">
        <v>30</v>
      </c>
      <c r="E886" s="10">
        <v>13</v>
      </c>
      <c r="F886" s="10">
        <v>327</v>
      </c>
      <c r="G886" s="1" t="s">
        <v>33</v>
      </c>
      <c r="H886" s="10">
        <f t="shared" si="26"/>
        <v>4251</v>
      </c>
      <c r="I886" s="7">
        <v>3108.0065404468269</v>
      </c>
      <c r="J886" s="7">
        <f t="shared" si="27"/>
        <v>1142.9934595531731</v>
      </c>
      <c r="K886" s="1">
        <f>IF(B886="North",28.6,
IF(B886="South",13,
IF(B886="East",22.6,
IF(B886="West",19,
23.5))))</f>
        <v>19</v>
      </c>
      <c r="L886" s="1">
        <f>IF(B886="North",77.2,
IF(B886="South",80.2,
IF(B886="East",88.4,
IF(B886="West",72.8,
78.9))))</f>
        <v>72.8</v>
      </c>
    </row>
    <row r="887" spans="1:12" x14ac:dyDescent="0.25">
      <c r="A887" s="5">
        <v>45347</v>
      </c>
      <c r="B887" s="1" t="s">
        <v>12</v>
      </c>
      <c r="C887" s="1" t="s">
        <v>17</v>
      </c>
      <c r="D887" s="1" t="s">
        <v>30</v>
      </c>
      <c r="E887" s="10">
        <v>13</v>
      </c>
      <c r="F887" s="10">
        <v>948</v>
      </c>
      <c r="G887" s="1" t="s">
        <v>33</v>
      </c>
      <c r="H887" s="10">
        <f t="shared" si="26"/>
        <v>12324</v>
      </c>
      <c r="I887" s="7">
        <v>7483.2721721150456</v>
      </c>
      <c r="J887" s="7">
        <f t="shared" si="27"/>
        <v>4840.7278278849544</v>
      </c>
      <c r="K887" s="1">
        <f>IF(B887="North",28.6,
IF(B887="South",13,
IF(B887="East",22.6,
IF(B887="West",19,
23.5))))</f>
        <v>22.6</v>
      </c>
      <c r="L887" s="1">
        <f>IF(B887="North",77.2,
IF(B887="South",80.2,
IF(B887="East",88.4,
IF(B887="West",72.8,
78.9))))</f>
        <v>88.4</v>
      </c>
    </row>
    <row r="888" spans="1:12" x14ac:dyDescent="0.25">
      <c r="A888" s="5">
        <v>45505</v>
      </c>
      <c r="B888" s="1" t="s">
        <v>13</v>
      </c>
      <c r="C888" s="1" t="s">
        <v>20</v>
      </c>
      <c r="D888" s="1" t="s">
        <v>32</v>
      </c>
      <c r="E888" s="10">
        <v>17</v>
      </c>
      <c r="F888" s="10">
        <v>248</v>
      </c>
      <c r="G888" s="1" t="s">
        <v>33</v>
      </c>
      <c r="H888" s="10">
        <f t="shared" si="26"/>
        <v>4216</v>
      </c>
      <c r="I888" s="7">
        <v>3698.8174857287722</v>
      </c>
      <c r="J888" s="7">
        <f t="shared" si="27"/>
        <v>517.18251427122777</v>
      </c>
      <c r="K888" s="1">
        <f>IF(B888="North",28.6,
IF(B888="South",13,
IF(B888="East",22.6,
IF(B888="West",19,
23.5))))</f>
        <v>13</v>
      </c>
      <c r="L888" s="1">
        <f>IF(B888="North",77.2,
IF(B888="South",80.2,
IF(B888="East",88.4,
IF(B888="West",72.8,
78.9))))</f>
        <v>80.2</v>
      </c>
    </row>
    <row r="889" spans="1:12" x14ac:dyDescent="0.25">
      <c r="A889" s="5">
        <v>45305</v>
      </c>
      <c r="B889" s="1" t="s">
        <v>10</v>
      </c>
      <c r="C889" s="1" t="s">
        <v>17</v>
      </c>
      <c r="D889" s="1" t="s">
        <v>32</v>
      </c>
      <c r="E889" s="10">
        <v>7</v>
      </c>
      <c r="F889" s="10">
        <v>1169</v>
      </c>
      <c r="G889" s="1" t="s">
        <v>33</v>
      </c>
      <c r="H889" s="10">
        <f t="shared" si="26"/>
        <v>8183</v>
      </c>
      <c r="I889" s="7">
        <v>4935.7406142540049</v>
      </c>
      <c r="J889" s="7">
        <f t="shared" si="27"/>
        <v>3247.2593857459951</v>
      </c>
      <c r="K889" s="1">
        <f>IF(B889="North",28.6,
IF(B889="South",13,
IF(B889="East",22.6,
IF(B889="West",19,
23.5))))</f>
        <v>28.6</v>
      </c>
      <c r="L889" s="1">
        <f>IF(B889="North",77.2,
IF(B889="South",80.2,
IF(B889="East",88.4,
IF(B889="West",72.8,
78.9))))</f>
        <v>77.2</v>
      </c>
    </row>
    <row r="890" spans="1:12" x14ac:dyDescent="0.25">
      <c r="A890" s="5">
        <v>45319</v>
      </c>
      <c r="B890" s="1" t="s">
        <v>11</v>
      </c>
      <c r="C890" s="1" t="s">
        <v>24</v>
      </c>
      <c r="D890" s="1" t="s">
        <v>26</v>
      </c>
      <c r="E890" s="10">
        <v>8</v>
      </c>
      <c r="F890" s="10">
        <v>1267</v>
      </c>
      <c r="G890" s="1" t="s">
        <v>35</v>
      </c>
      <c r="H890" s="10">
        <f t="shared" si="26"/>
        <v>10136</v>
      </c>
      <c r="I890" s="7">
        <v>7838.7921950500786</v>
      </c>
      <c r="J890" s="7">
        <f t="shared" si="27"/>
        <v>2297.2078049499214</v>
      </c>
      <c r="K890" s="1">
        <f>IF(B890="North",28.6,
IF(B890="South",13,
IF(B890="East",22.6,
IF(B890="West",19,
23.5))))</f>
        <v>19</v>
      </c>
      <c r="L890" s="1">
        <f>IF(B890="North",77.2,
IF(B890="South",80.2,
IF(B890="East",88.4,
IF(B890="West",72.8,
78.9))))</f>
        <v>72.8</v>
      </c>
    </row>
    <row r="891" spans="1:12" x14ac:dyDescent="0.25">
      <c r="A891" s="5">
        <v>45369</v>
      </c>
      <c r="B891" s="1" t="s">
        <v>10</v>
      </c>
      <c r="C891" s="1" t="s">
        <v>19</v>
      </c>
      <c r="D891" s="1" t="s">
        <v>29</v>
      </c>
      <c r="E891" s="10">
        <v>13</v>
      </c>
      <c r="F891" s="10">
        <v>1873</v>
      </c>
      <c r="G891" s="1" t="s">
        <v>35</v>
      </c>
      <c r="H891" s="10">
        <f t="shared" si="26"/>
        <v>24349</v>
      </c>
      <c r="I891" s="7">
        <v>21634.992874185278</v>
      </c>
      <c r="J891" s="7">
        <f t="shared" si="27"/>
        <v>2714.0071258147218</v>
      </c>
      <c r="K891" s="1">
        <f>IF(B891="North",28.6,
IF(B891="South",13,
IF(B891="East",22.6,
IF(B891="West",19,
23.5))))</f>
        <v>28.6</v>
      </c>
      <c r="L891" s="1">
        <f>IF(B891="North",77.2,
IF(B891="South",80.2,
IF(B891="East",88.4,
IF(B891="West",72.8,
78.9))))</f>
        <v>77.2</v>
      </c>
    </row>
    <row r="892" spans="1:12" x14ac:dyDescent="0.25">
      <c r="A892" s="5">
        <v>45507</v>
      </c>
      <c r="B892" s="1" t="s">
        <v>12</v>
      </c>
      <c r="C892" s="1" t="s">
        <v>20</v>
      </c>
      <c r="D892" s="1" t="s">
        <v>25</v>
      </c>
      <c r="E892" s="10">
        <v>16</v>
      </c>
      <c r="F892" s="10">
        <v>1907</v>
      </c>
      <c r="G892" s="1" t="s">
        <v>33</v>
      </c>
      <c r="H892" s="10">
        <f t="shared" si="26"/>
        <v>30512</v>
      </c>
      <c r="I892" s="7">
        <v>20482.136523583831</v>
      </c>
      <c r="J892" s="7">
        <f t="shared" si="27"/>
        <v>10029.863476416169</v>
      </c>
      <c r="K892" s="1">
        <f>IF(B892="North",28.6,
IF(B892="South",13,
IF(B892="East",22.6,
IF(B892="West",19,
23.5))))</f>
        <v>22.6</v>
      </c>
      <c r="L892" s="1">
        <f>IF(B892="North",77.2,
IF(B892="South",80.2,
IF(B892="East",88.4,
IF(B892="West",72.8,
78.9))))</f>
        <v>88.4</v>
      </c>
    </row>
    <row r="893" spans="1:12" x14ac:dyDescent="0.25">
      <c r="A893" s="5">
        <v>45656</v>
      </c>
      <c r="B893" s="1" t="s">
        <v>13</v>
      </c>
      <c r="C893" s="1" t="s">
        <v>22</v>
      </c>
      <c r="D893" s="1" t="s">
        <v>31</v>
      </c>
      <c r="E893" s="10">
        <v>4</v>
      </c>
      <c r="F893" s="10">
        <v>731</v>
      </c>
      <c r="G893" s="1" t="s">
        <v>35</v>
      </c>
      <c r="H893" s="10">
        <f t="shared" si="26"/>
        <v>2924</v>
      </c>
      <c r="I893" s="7">
        <v>1977.3658839264831</v>
      </c>
      <c r="J893" s="7">
        <f t="shared" si="27"/>
        <v>946.63411607351691</v>
      </c>
      <c r="K893" s="1">
        <f>IF(B893="North",28.6,
IF(B893="South",13,
IF(B893="East",22.6,
IF(B893="West",19,
23.5))))</f>
        <v>13</v>
      </c>
      <c r="L893" s="1">
        <f>IF(B893="North",77.2,
IF(B893="South",80.2,
IF(B893="East",88.4,
IF(B893="West",72.8,
78.9))))</f>
        <v>80.2</v>
      </c>
    </row>
    <row r="894" spans="1:12" x14ac:dyDescent="0.25">
      <c r="A894" s="5">
        <v>45445</v>
      </c>
      <c r="B894" s="1" t="s">
        <v>11</v>
      </c>
      <c r="C894" s="1" t="s">
        <v>19</v>
      </c>
      <c r="D894" s="1" t="s">
        <v>29</v>
      </c>
      <c r="E894" s="10">
        <v>8</v>
      </c>
      <c r="F894" s="10">
        <v>1463</v>
      </c>
      <c r="G894" s="1" t="s">
        <v>35</v>
      </c>
      <c r="H894" s="10">
        <f t="shared" si="26"/>
        <v>11704</v>
      </c>
      <c r="I894" s="7">
        <v>7023.8856890004063</v>
      </c>
      <c r="J894" s="7">
        <f t="shared" si="27"/>
        <v>4680.1143109995937</v>
      </c>
      <c r="K894" s="1">
        <f>IF(B894="North",28.6,
IF(B894="South",13,
IF(B894="East",22.6,
IF(B894="West",19,
23.5))))</f>
        <v>19</v>
      </c>
      <c r="L894" s="1">
        <f>IF(B894="North",77.2,
IF(B894="South",80.2,
IF(B894="East",88.4,
IF(B894="West",72.8,
78.9))))</f>
        <v>72.8</v>
      </c>
    </row>
    <row r="895" spans="1:12" x14ac:dyDescent="0.25">
      <c r="A895" s="5">
        <v>45305</v>
      </c>
      <c r="B895" s="1" t="s">
        <v>13</v>
      </c>
      <c r="C895" s="1" t="s">
        <v>22</v>
      </c>
      <c r="D895" s="1" t="s">
        <v>29</v>
      </c>
      <c r="E895" s="10">
        <v>16</v>
      </c>
      <c r="F895" s="10">
        <v>512</v>
      </c>
      <c r="G895" s="1" t="s">
        <v>35</v>
      </c>
      <c r="H895" s="10">
        <f t="shared" si="26"/>
        <v>8192</v>
      </c>
      <c r="I895" s="7">
        <v>5078.2646402776618</v>
      </c>
      <c r="J895" s="7">
        <f t="shared" si="27"/>
        <v>3113.7353597223382</v>
      </c>
      <c r="K895" s="1">
        <f>IF(B895="North",28.6,
IF(B895="South",13,
IF(B895="East",22.6,
IF(B895="West",19,
23.5))))</f>
        <v>13</v>
      </c>
      <c r="L895" s="1">
        <f>IF(B895="North",77.2,
IF(B895="South",80.2,
IF(B895="East",88.4,
IF(B895="West",72.8,
78.9))))</f>
        <v>80.2</v>
      </c>
    </row>
    <row r="896" spans="1:12" x14ac:dyDescent="0.25">
      <c r="A896" s="5">
        <v>45478</v>
      </c>
      <c r="B896" s="1" t="s">
        <v>12</v>
      </c>
      <c r="C896" s="1" t="s">
        <v>19</v>
      </c>
      <c r="D896" s="1" t="s">
        <v>28</v>
      </c>
      <c r="E896" s="10">
        <v>10</v>
      </c>
      <c r="F896" s="10">
        <v>1855</v>
      </c>
      <c r="G896" s="1" t="s">
        <v>35</v>
      </c>
      <c r="H896" s="10">
        <f t="shared" si="26"/>
        <v>18550</v>
      </c>
      <c r="I896" s="7">
        <v>11379.8040104265</v>
      </c>
      <c r="J896" s="7">
        <f t="shared" si="27"/>
        <v>7170.1959895734999</v>
      </c>
      <c r="K896" s="1">
        <f>IF(B896="North",28.6,
IF(B896="South",13,
IF(B896="East",22.6,
IF(B896="West",19,
23.5))))</f>
        <v>22.6</v>
      </c>
      <c r="L896" s="1">
        <f>IF(B896="North",77.2,
IF(B896="South",80.2,
IF(B896="East",88.4,
IF(B896="West",72.8,
78.9))))</f>
        <v>88.4</v>
      </c>
    </row>
    <row r="897" spans="1:12" x14ac:dyDescent="0.25">
      <c r="A897" s="5">
        <v>45603</v>
      </c>
      <c r="B897" s="1" t="s">
        <v>12</v>
      </c>
      <c r="C897" s="1" t="s">
        <v>19</v>
      </c>
      <c r="D897" s="1" t="s">
        <v>29</v>
      </c>
      <c r="E897" s="10">
        <v>12</v>
      </c>
      <c r="F897" s="10">
        <v>619</v>
      </c>
      <c r="G897" s="1" t="s">
        <v>35</v>
      </c>
      <c r="H897" s="10">
        <f t="shared" si="26"/>
        <v>7428</v>
      </c>
      <c r="I897" s="7">
        <v>6290.0072625712874</v>
      </c>
      <c r="J897" s="7">
        <f t="shared" si="27"/>
        <v>1137.9927374287126</v>
      </c>
      <c r="K897" s="1">
        <f>IF(B897="North",28.6,
IF(B897="South",13,
IF(B897="East",22.6,
IF(B897="West",19,
23.5))))</f>
        <v>22.6</v>
      </c>
      <c r="L897" s="1">
        <f>IF(B897="North",77.2,
IF(B897="South",80.2,
IF(B897="East",88.4,
IF(B897="West",72.8,
78.9))))</f>
        <v>88.4</v>
      </c>
    </row>
    <row r="898" spans="1:12" x14ac:dyDescent="0.25">
      <c r="A898" s="5">
        <v>45298</v>
      </c>
      <c r="B898" s="1" t="s">
        <v>10</v>
      </c>
      <c r="C898" s="1" t="s">
        <v>17</v>
      </c>
      <c r="D898" s="1" t="s">
        <v>28</v>
      </c>
      <c r="E898" s="10">
        <v>12</v>
      </c>
      <c r="F898" s="10">
        <v>1467</v>
      </c>
      <c r="G898" s="1" t="s">
        <v>33</v>
      </c>
      <c r="H898" s="10">
        <f t="shared" si="26"/>
        <v>17604</v>
      </c>
      <c r="I898" s="7">
        <v>14981.378454393111</v>
      </c>
      <c r="J898" s="7">
        <f t="shared" si="27"/>
        <v>2622.6215456068894</v>
      </c>
      <c r="K898" s="1">
        <f>IF(B898="North",28.6,
IF(B898="South",13,
IF(B898="East",22.6,
IF(B898="West",19,
23.5))))</f>
        <v>28.6</v>
      </c>
      <c r="L898" s="1">
        <f>IF(B898="North",77.2,
IF(B898="South",80.2,
IF(B898="East",88.4,
IF(B898="West",72.8,
78.9))))</f>
        <v>77.2</v>
      </c>
    </row>
    <row r="899" spans="1:12" x14ac:dyDescent="0.25">
      <c r="A899" s="5">
        <v>45294</v>
      </c>
      <c r="B899" s="1" t="s">
        <v>11</v>
      </c>
      <c r="C899" s="1" t="s">
        <v>20</v>
      </c>
      <c r="D899" s="1" t="s">
        <v>29</v>
      </c>
      <c r="E899" s="10">
        <v>5</v>
      </c>
      <c r="F899" s="10">
        <v>486</v>
      </c>
      <c r="G899" s="1" t="s">
        <v>33</v>
      </c>
      <c r="H899" s="10">
        <f t="shared" ref="H899:H962" si="28">E899*F899</f>
        <v>2430</v>
      </c>
      <c r="I899" s="7">
        <v>1987.764361370517</v>
      </c>
      <c r="J899" s="7">
        <f t="shared" ref="J899:J962" si="29">H899-I899</f>
        <v>442.23563862948299</v>
      </c>
      <c r="K899" s="1">
        <f>IF(B899="North",28.6,
IF(B899="South",13,
IF(B899="East",22.6,
IF(B899="West",19,
23.5))))</f>
        <v>19</v>
      </c>
      <c r="L899" s="1">
        <f>IF(B899="North",77.2,
IF(B899="South",80.2,
IF(B899="East",88.4,
IF(B899="West",72.8,
78.9))))</f>
        <v>72.8</v>
      </c>
    </row>
    <row r="900" spans="1:12" x14ac:dyDescent="0.25">
      <c r="A900" s="5">
        <v>45402</v>
      </c>
      <c r="B900" s="1" t="s">
        <v>10</v>
      </c>
      <c r="C900" s="1" t="s">
        <v>20</v>
      </c>
      <c r="D900" s="1" t="s">
        <v>31</v>
      </c>
      <c r="E900" s="10">
        <v>16</v>
      </c>
      <c r="F900" s="10">
        <v>1596</v>
      </c>
      <c r="G900" s="1" t="s">
        <v>33</v>
      </c>
      <c r="H900" s="10">
        <f t="shared" si="28"/>
        <v>25536</v>
      </c>
      <c r="I900" s="7">
        <v>18023.908991890941</v>
      </c>
      <c r="J900" s="7">
        <f t="shared" si="29"/>
        <v>7512.0910081090587</v>
      </c>
      <c r="K900" s="1">
        <f>IF(B900="North",28.6,
IF(B900="South",13,
IF(B900="East",22.6,
IF(B900="West",19,
23.5))))</f>
        <v>28.6</v>
      </c>
      <c r="L900" s="1">
        <f>IF(B900="North",77.2,
IF(B900="South",80.2,
IF(B900="East",88.4,
IF(B900="West",72.8,
78.9))))</f>
        <v>77.2</v>
      </c>
    </row>
    <row r="901" spans="1:12" x14ac:dyDescent="0.25">
      <c r="A901" s="5">
        <v>45529</v>
      </c>
      <c r="B901" s="1" t="s">
        <v>12</v>
      </c>
      <c r="C901" s="1" t="s">
        <v>23</v>
      </c>
      <c r="D901" s="1" t="s">
        <v>28</v>
      </c>
      <c r="E901" s="10">
        <v>1</v>
      </c>
      <c r="F901" s="10">
        <v>374</v>
      </c>
      <c r="G901" s="1" t="s">
        <v>34</v>
      </c>
      <c r="H901" s="10">
        <f t="shared" si="28"/>
        <v>374</v>
      </c>
      <c r="I901" s="7">
        <v>316.54474927752813</v>
      </c>
      <c r="J901" s="7">
        <f t="shared" si="29"/>
        <v>57.455250722471874</v>
      </c>
      <c r="K901" s="1">
        <f>IF(B901="North",28.6,
IF(B901="South",13,
IF(B901="East",22.6,
IF(B901="West",19,
23.5))))</f>
        <v>22.6</v>
      </c>
      <c r="L901" s="1">
        <f>IF(B901="North",77.2,
IF(B901="South",80.2,
IF(B901="East",88.4,
IF(B901="West",72.8,
78.9))))</f>
        <v>88.4</v>
      </c>
    </row>
    <row r="902" spans="1:12" x14ac:dyDescent="0.25">
      <c r="A902" s="5">
        <v>45654</v>
      </c>
      <c r="B902" s="1" t="s">
        <v>13</v>
      </c>
      <c r="C902" s="1" t="s">
        <v>19</v>
      </c>
      <c r="D902" s="1" t="s">
        <v>30</v>
      </c>
      <c r="E902" s="10">
        <v>9</v>
      </c>
      <c r="F902" s="10">
        <v>452</v>
      </c>
      <c r="G902" s="1" t="s">
        <v>35</v>
      </c>
      <c r="H902" s="10">
        <f t="shared" si="28"/>
        <v>4068</v>
      </c>
      <c r="I902" s="7">
        <v>3099.5408245044132</v>
      </c>
      <c r="J902" s="7">
        <f t="shared" si="29"/>
        <v>968.45917549558681</v>
      </c>
      <c r="K902" s="1">
        <f>IF(B902="North",28.6,
IF(B902="South",13,
IF(B902="East",22.6,
IF(B902="West",19,
23.5))))</f>
        <v>13</v>
      </c>
      <c r="L902" s="1">
        <f>IF(B902="North",77.2,
IF(B902="South",80.2,
IF(B902="East",88.4,
IF(B902="West",72.8,
78.9))))</f>
        <v>80.2</v>
      </c>
    </row>
    <row r="903" spans="1:12" x14ac:dyDescent="0.25">
      <c r="A903" s="5">
        <v>45530</v>
      </c>
      <c r="B903" s="1" t="s">
        <v>10</v>
      </c>
      <c r="C903" s="1" t="s">
        <v>24</v>
      </c>
      <c r="D903" s="1" t="s">
        <v>28</v>
      </c>
      <c r="E903" s="10">
        <v>12</v>
      </c>
      <c r="F903" s="10">
        <v>1189</v>
      </c>
      <c r="G903" s="1" t="s">
        <v>35</v>
      </c>
      <c r="H903" s="10">
        <f t="shared" si="28"/>
        <v>14268</v>
      </c>
      <c r="I903" s="7">
        <v>9863.3697074446627</v>
      </c>
      <c r="J903" s="7">
        <f t="shared" si="29"/>
        <v>4404.6302925553373</v>
      </c>
      <c r="K903" s="1">
        <f>IF(B903="North",28.6,
IF(B903="South",13,
IF(B903="East",22.6,
IF(B903="West",19,
23.5))))</f>
        <v>28.6</v>
      </c>
      <c r="L903" s="1">
        <f>IF(B903="North",77.2,
IF(B903="South",80.2,
IF(B903="East",88.4,
IF(B903="West",72.8,
78.9))))</f>
        <v>77.2</v>
      </c>
    </row>
    <row r="904" spans="1:12" x14ac:dyDescent="0.25">
      <c r="A904" s="5">
        <v>45565</v>
      </c>
      <c r="B904" s="1" t="s">
        <v>10</v>
      </c>
      <c r="C904" s="1" t="s">
        <v>24</v>
      </c>
      <c r="D904" s="1" t="s">
        <v>28</v>
      </c>
      <c r="E904" s="10">
        <v>10</v>
      </c>
      <c r="F904" s="10">
        <v>1202</v>
      </c>
      <c r="G904" s="1" t="s">
        <v>35</v>
      </c>
      <c r="H904" s="10">
        <f t="shared" si="28"/>
        <v>12020</v>
      </c>
      <c r="I904" s="7">
        <f>H904*0.7</f>
        <v>8414</v>
      </c>
      <c r="J904" s="7">
        <f t="shared" si="29"/>
        <v>3606</v>
      </c>
      <c r="K904" s="1">
        <f>IF(B904="North",28.6,
IF(B904="South",13,
IF(B904="East",22.6,
IF(B904="West",19,
23.5))))</f>
        <v>28.6</v>
      </c>
      <c r="L904" s="1">
        <f>IF(B904="North",77.2,
IF(B904="South",80.2,
IF(B904="East",88.4,
IF(B904="West",72.8,
78.9))))</f>
        <v>77.2</v>
      </c>
    </row>
    <row r="905" spans="1:12" x14ac:dyDescent="0.25">
      <c r="A905" s="5">
        <v>45585</v>
      </c>
      <c r="B905" s="1" t="s">
        <v>13</v>
      </c>
      <c r="C905" s="1" t="s">
        <v>22</v>
      </c>
      <c r="D905" s="1" t="s">
        <v>31</v>
      </c>
      <c r="E905" s="10">
        <v>3</v>
      </c>
      <c r="F905" s="10">
        <v>697</v>
      </c>
      <c r="G905" s="1" t="s">
        <v>35</v>
      </c>
      <c r="H905" s="10">
        <f t="shared" si="28"/>
        <v>2091</v>
      </c>
      <c r="I905" s="7">
        <v>1295.8561220172289</v>
      </c>
      <c r="J905" s="7">
        <f t="shared" si="29"/>
        <v>795.14387798277107</v>
      </c>
      <c r="K905" s="1">
        <f>IF(B905="North",28.6,
IF(B905="South",13,
IF(B905="East",22.6,
IF(B905="West",19,
23.5))))</f>
        <v>13</v>
      </c>
      <c r="L905" s="1">
        <f>IF(B905="North",77.2,
IF(B905="South",80.2,
IF(B905="East",88.4,
IF(B905="West",72.8,
78.9))))</f>
        <v>80.2</v>
      </c>
    </row>
    <row r="906" spans="1:12" x14ac:dyDescent="0.25">
      <c r="A906" s="5">
        <v>45518</v>
      </c>
      <c r="B906" s="1" t="s">
        <v>10</v>
      </c>
      <c r="C906" s="1" t="s">
        <v>22</v>
      </c>
      <c r="D906" s="1" t="s">
        <v>31</v>
      </c>
      <c r="E906" s="10">
        <v>5</v>
      </c>
      <c r="F906" s="10">
        <v>1759</v>
      </c>
      <c r="G906" s="1" t="s">
        <v>35</v>
      </c>
      <c r="H906" s="10">
        <f t="shared" si="28"/>
        <v>8795</v>
      </c>
      <c r="I906" s="7">
        <v>7770.1415699896479</v>
      </c>
      <c r="J906" s="7">
        <f t="shared" si="29"/>
        <v>1024.8584300103521</v>
      </c>
      <c r="K906" s="1">
        <f>IF(B906="North",28.6,
IF(B906="South",13,
IF(B906="East",22.6,
IF(B906="West",19,
23.5))))</f>
        <v>28.6</v>
      </c>
      <c r="L906" s="1">
        <f>IF(B906="North",77.2,
IF(B906="South",80.2,
IF(B906="East",88.4,
IF(B906="West",72.8,
78.9))))</f>
        <v>77.2</v>
      </c>
    </row>
    <row r="907" spans="1:12" x14ac:dyDescent="0.25">
      <c r="A907" s="5">
        <v>45306</v>
      </c>
      <c r="B907" s="1" t="s">
        <v>13</v>
      </c>
      <c r="C907" s="1" t="s">
        <v>17</v>
      </c>
      <c r="D907" s="1" t="s">
        <v>28</v>
      </c>
      <c r="E907" s="10">
        <v>2</v>
      </c>
      <c r="F907" s="10">
        <v>1325</v>
      </c>
      <c r="G907" s="1" t="s">
        <v>33</v>
      </c>
      <c r="H907" s="10">
        <f t="shared" si="28"/>
        <v>2650</v>
      </c>
      <c r="I907" s="7">
        <v>2082.197551794713</v>
      </c>
      <c r="J907" s="7">
        <f t="shared" si="29"/>
        <v>567.80244820528696</v>
      </c>
      <c r="K907" s="1">
        <f>IF(B907="North",28.6,
IF(B907="South",13,
IF(B907="East",22.6,
IF(B907="West",19,
23.5))))</f>
        <v>13</v>
      </c>
      <c r="L907" s="1">
        <f>IF(B907="North",77.2,
IF(B907="South",80.2,
IF(B907="East",88.4,
IF(B907="West",72.8,
78.9))))</f>
        <v>80.2</v>
      </c>
    </row>
    <row r="908" spans="1:12" x14ac:dyDescent="0.25">
      <c r="A908" s="5">
        <v>45483</v>
      </c>
      <c r="B908" s="1" t="s">
        <v>11</v>
      </c>
      <c r="C908" s="1" t="s">
        <v>19</v>
      </c>
      <c r="D908" s="1" t="s">
        <v>25</v>
      </c>
      <c r="E908" s="10">
        <v>14</v>
      </c>
      <c r="F908" s="10">
        <v>1785</v>
      </c>
      <c r="G908" s="1" t="s">
        <v>35</v>
      </c>
      <c r="H908" s="10">
        <f t="shared" si="28"/>
        <v>24990</v>
      </c>
      <c r="I908" s="7">
        <v>20476.062384544501</v>
      </c>
      <c r="J908" s="7">
        <f t="shared" si="29"/>
        <v>4513.9376154554993</v>
      </c>
      <c r="K908" s="1">
        <f>IF(B908="North",28.6,
IF(B908="South",13,
IF(B908="East",22.6,
IF(B908="West",19,
23.5))))</f>
        <v>19</v>
      </c>
      <c r="L908" s="1">
        <f>IF(B908="North",77.2,
IF(B908="South",80.2,
IF(B908="East",88.4,
IF(B908="West",72.8,
78.9))))</f>
        <v>72.8</v>
      </c>
    </row>
    <row r="909" spans="1:12" x14ac:dyDescent="0.25">
      <c r="A909" s="5">
        <v>45410</v>
      </c>
      <c r="B909" s="1" t="s">
        <v>13</v>
      </c>
      <c r="C909" s="1" t="s">
        <v>22</v>
      </c>
      <c r="D909" s="1" t="s">
        <v>27</v>
      </c>
      <c r="E909" s="10">
        <v>2</v>
      </c>
      <c r="F909" s="10">
        <v>657</v>
      </c>
      <c r="G909" s="1" t="s">
        <v>35</v>
      </c>
      <c r="H909" s="10">
        <f t="shared" si="28"/>
        <v>1314</v>
      </c>
      <c r="I909" s="7">
        <v>1055.109164619515</v>
      </c>
      <c r="J909" s="7">
        <f t="shared" si="29"/>
        <v>258.89083538048499</v>
      </c>
      <c r="K909" s="1">
        <f>IF(B909="North",28.6,
IF(B909="South",13,
IF(B909="East",22.6,
IF(B909="West",19,
23.5))))</f>
        <v>13</v>
      </c>
      <c r="L909" s="1">
        <f>IF(B909="North",77.2,
IF(B909="South",80.2,
IF(B909="East",88.4,
IF(B909="West",72.8,
78.9))))</f>
        <v>80.2</v>
      </c>
    </row>
    <row r="910" spans="1:12" x14ac:dyDescent="0.25">
      <c r="A910" s="5">
        <v>45319</v>
      </c>
      <c r="B910" s="1" t="s">
        <v>11</v>
      </c>
      <c r="C910" s="1" t="s">
        <v>22</v>
      </c>
      <c r="D910" s="1" t="s">
        <v>25</v>
      </c>
      <c r="E910" s="10">
        <v>13</v>
      </c>
      <c r="F910" s="10">
        <v>212</v>
      </c>
      <c r="G910" s="1" t="s">
        <v>35</v>
      </c>
      <c r="H910" s="10">
        <f t="shared" si="28"/>
        <v>2756</v>
      </c>
      <c r="I910" s="7">
        <v>2205.6956872019468</v>
      </c>
      <c r="J910" s="7">
        <f t="shared" si="29"/>
        <v>550.30431279805316</v>
      </c>
      <c r="K910" s="1">
        <f>IF(B910="North",28.6,
IF(B910="South",13,
IF(B910="East",22.6,
IF(B910="West",19,
23.5))))</f>
        <v>19</v>
      </c>
      <c r="L910" s="1">
        <f>IF(B910="North",77.2,
IF(B910="South",80.2,
IF(B910="East",88.4,
IF(B910="West",72.8,
78.9))))</f>
        <v>72.8</v>
      </c>
    </row>
    <row r="911" spans="1:12" x14ac:dyDescent="0.25">
      <c r="A911" s="5">
        <v>45493</v>
      </c>
      <c r="B911" s="1" t="s">
        <v>13</v>
      </c>
      <c r="C911" s="1" t="s">
        <v>21</v>
      </c>
      <c r="D911" s="1" t="s">
        <v>31</v>
      </c>
      <c r="E911" s="10">
        <v>7</v>
      </c>
      <c r="F911" s="10">
        <v>1214</v>
      </c>
      <c r="G911" s="1" t="s">
        <v>35</v>
      </c>
      <c r="H911" s="10">
        <f t="shared" si="28"/>
        <v>8498</v>
      </c>
      <c r="I911" s="7">
        <v>5142.8051564266643</v>
      </c>
      <c r="J911" s="7">
        <f t="shared" si="29"/>
        <v>3355.1948435733357</v>
      </c>
      <c r="K911" s="1">
        <f>IF(B911="North",28.6,
IF(B911="South",13,
IF(B911="East",22.6,
IF(B911="West",19,
23.5))))</f>
        <v>13</v>
      </c>
      <c r="L911" s="1">
        <f>IF(B911="North",77.2,
IF(B911="South",80.2,
IF(B911="East",88.4,
IF(B911="West",72.8,
78.9))))</f>
        <v>80.2</v>
      </c>
    </row>
    <row r="912" spans="1:12" x14ac:dyDescent="0.25">
      <c r="A912" s="5">
        <v>45330</v>
      </c>
      <c r="B912" s="1" t="s">
        <v>12</v>
      </c>
      <c r="C912" s="1" t="s">
        <v>19</v>
      </c>
      <c r="D912" s="1" t="s">
        <v>25</v>
      </c>
      <c r="E912" s="10">
        <v>10</v>
      </c>
      <c r="F912" s="10">
        <v>240</v>
      </c>
      <c r="G912" s="1" t="s">
        <v>35</v>
      </c>
      <c r="H912" s="10">
        <f t="shared" si="28"/>
        <v>2400</v>
      </c>
      <c r="I912" s="7">
        <v>1818.2673214450899</v>
      </c>
      <c r="J912" s="7">
        <f t="shared" si="29"/>
        <v>581.73267855491008</v>
      </c>
      <c r="K912" s="1">
        <f>IF(B912="North",28.6,
IF(B912="South",13,
IF(B912="East",22.6,
IF(B912="West",19,
23.5))))</f>
        <v>22.6</v>
      </c>
      <c r="L912" s="1">
        <f>IF(B912="North",77.2,
IF(B912="South",80.2,
IF(B912="East",88.4,
IF(B912="West",72.8,
78.9))))</f>
        <v>88.4</v>
      </c>
    </row>
    <row r="913" spans="1:12" x14ac:dyDescent="0.25">
      <c r="A913" s="5">
        <v>45564</v>
      </c>
      <c r="B913" s="1" t="s">
        <v>12</v>
      </c>
      <c r="C913" s="1" t="s">
        <v>18</v>
      </c>
      <c r="D913" s="1" t="s">
        <v>25</v>
      </c>
      <c r="E913" s="10">
        <v>13</v>
      </c>
      <c r="F913" s="10">
        <v>1412</v>
      </c>
      <c r="G913" s="1" t="s">
        <v>34</v>
      </c>
      <c r="H913" s="10">
        <f t="shared" si="28"/>
        <v>18356</v>
      </c>
      <c r="I913" s="7">
        <v>15538.59388699509</v>
      </c>
      <c r="J913" s="7">
        <f t="shared" si="29"/>
        <v>2817.4061130049104</v>
      </c>
      <c r="K913" s="1">
        <f>IF(B913="North",28.6,
IF(B913="South",13,
IF(B913="East",22.6,
IF(B913="West",19,
23.5))))</f>
        <v>22.6</v>
      </c>
      <c r="L913" s="1">
        <f>IF(B913="North",77.2,
IF(B913="South",80.2,
IF(B913="East",88.4,
IF(B913="West",72.8,
78.9))))</f>
        <v>88.4</v>
      </c>
    </row>
    <row r="914" spans="1:12" x14ac:dyDescent="0.25">
      <c r="A914" s="5">
        <v>45522</v>
      </c>
      <c r="B914" s="1" t="s">
        <v>11</v>
      </c>
      <c r="C914" s="1" t="s">
        <v>17</v>
      </c>
      <c r="D914" s="1" t="s">
        <v>26</v>
      </c>
      <c r="E914" s="10">
        <v>16</v>
      </c>
      <c r="F914" s="10">
        <v>829</v>
      </c>
      <c r="G914" s="1" t="s">
        <v>33</v>
      </c>
      <c r="H914" s="10">
        <f t="shared" si="28"/>
        <v>13264</v>
      </c>
      <c r="I914" s="7">
        <v>8135.5494135370373</v>
      </c>
      <c r="J914" s="7">
        <f t="shared" si="29"/>
        <v>5128.4505864629627</v>
      </c>
      <c r="K914" s="1">
        <f>IF(B914="North",28.6,
IF(B914="South",13,
IF(B914="East",22.6,
IF(B914="West",19,
23.5))))</f>
        <v>19</v>
      </c>
      <c r="L914" s="1">
        <f>IF(B914="North",77.2,
IF(B914="South",80.2,
IF(B914="East",88.4,
IF(B914="West",72.8,
78.9))))</f>
        <v>72.8</v>
      </c>
    </row>
    <row r="915" spans="1:12" x14ac:dyDescent="0.25">
      <c r="A915" s="5">
        <v>45377</v>
      </c>
      <c r="B915" s="1" t="s">
        <v>11</v>
      </c>
      <c r="C915" s="1" t="s">
        <v>22</v>
      </c>
      <c r="D915" s="1" t="s">
        <v>26</v>
      </c>
      <c r="E915" s="10">
        <v>14</v>
      </c>
      <c r="F915" s="10">
        <v>688</v>
      </c>
      <c r="G915" s="1" t="s">
        <v>35</v>
      </c>
      <c r="H915" s="10">
        <f t="shared" si="28"/>
        <v>9632</v>
      </c>
      <c r="I915" s="7">
        <v>8542.1363601635476</v>
      </c>
      <c r="J915" s="7">
        <f t="shared" si="29"/>
        <v>1089.8636398364524</v>
      </c>
      <c r="K915" s="1">
        <f>IF(B915="North",28.6,
IF(B915="South",13,
IF(B915="East",22.6,
IF(B915="West",19,
23.5))))</f>
        <v>19</v>
      </c>
      <c r="L915" s="1">
        <f>IF(B915="North",77.2,
IF(B915="South",80.2,
IF(B915="East",88.4,
IF(B915="West",72.8,
78.9))))</f>
        <v>72.8</v>
      </c>
    </row>
    <row r="916" spans="1:12" x14ac:dyDescent="0.25">
      <c r="A916" s="5">
        <v>45417</v>
      </c>
      <c r="B916" s="1" t="s">
        <v>12</v>
      </c>
      <c r="C916" s="1" t="s">
        <v>17</v>
      </c>
      <c r="D916" s="1" t="s">
        <v>30</v>
      </c>
      <c r="E916" s="10">
        <v>11</v>
      </c>
      <c r="F916" s="10">
        <v>510</v>
      </c>
      <c r="G916" s="1" t="s">
        <v>33</v>
      </c>
      <c r="H916" s="10">
        <f t="shared" si="28"/>
        <v>5610</v>
      </c>
      <c r="I916" s="7">
        <v>4079.8607464990801</v>
      </c>
      <c r="J916" s="7">
        <f t="shared" si="29"/>
        <v>1530.1392535009199</v>
      </c>
      <c r="K916" s="1">
        <f>IF(B916="North",28.6,
IF(B916="South",13,
IF(B916="East",22.6,
IF(B916="West",19,
23.5))))</f>
        <v>22.6</v>
      </c>
      <c r="L916" s="1">
        <f>IF(B916="North",77.2,
IF(B916="South",80.2,
IF(B916="East",88.4,
IF(B916="West",72.8,
78.9))))</f>
        <v>88.4</v>
      </c>
    </row>
    <row r="917" spans="1:12" x14ac:dyDescent="0.25">
      <c r="A917" s="5">
        <v>45591</v>
      </c>
      <c r="B917" s="1" t="s">
        <v>11</v>
      </c>
      <c r="C917" s="1" t="s">
        <v>20</v>
      </c>
      <c r="D917" s="1" t="s">
        <v>29</v>
      </c>
      <c r="E917" s="10">
        <v>10</v>
      </c>
      <c r="F917" s="10">
        <v>476</v>
      </c>
      <c r="G917" s="1" t="s">
        <v>33</v>
      </c>
      <c r="H917" s="10">
        <f t="shared" si="28"/>
        <v>4760</v>
      </c>
      <c r="I917" s="7">
        <v>3269.9707626493582</v>
      </c>
      <c r="J917" s="7">
        <f t="shared" si="29"/>
        <v>1490.0292373506418</v>
      </c>
      <c r="K917" s="1">
        <f>IF(B917="North",28.6,
IF(B917="South",13,
IF(B917="East",22.6,
IF(B917="West",19,
23.5))))</f>
        <v>19</v>
      </c>
      <c r="L917" s="1">
        <f>IF(B917="North",77.2,
IF(B917="South",80.2,
IF(B917="East",88.4,
IF(B917="West",72.8,
78.9))))</f>
        <v>72.8</v>
      </c>
    </row>
    <row r="918" spans="1:12" x14ac:dyDescent="0.25">
      <c r="A918" s="5">
        <v>45316</v>
      </c>
      <c r="B918" s="1" t="s">
        <v>13</v>
      </c>
      <c r="C918" s="1" t="s">
        <v>17</v>
      </c>
      <c r="D918" s="1" t="s">
        <v>28</v>
      </c>
      <c r="E918" s="10">
        <v>6</v>
      </c>
      <c r="F918" s="10">
        <v>1507</v>
      </c>
      <c r="G918" s="1" t="s">
        <v>33</v>
      </c>
      <c r="H918" s="10">
        <f t="shared" si="28"/>
        <v>9042</v>
      </c>
      <c r="I918" s="7">
        <v>6867.8186255899336</v>
      </c>
      <c r="J918" s="7">
        <f t="shared" si="29"/>
        <v>2174.1813744100664</v>
      </c>
      <c r="K918" s="1">
        <f>IF(B918="North",28.6,
IF(B918="South",13,
IF(B918="East",22.6,
IF(B918="West",19,
23.5))))</f>
        <v>13</v>
      </c>
      <c r="L918" s="1">
        <f>IF(B918="North",77.2,
IF(B918="South",80.2,
IF(B918="East",88.4,
IF(B918="West",72.8,
78.9))))</f>
        <v>80.2</v>
      </c>
    </row>
    <row r="919" spans="1:12" x14ac:dyDescent="0.25">
      <c r="A919" s="5">
        <v>45436</v>
      </c>
      <c r="B919" s="1" t="s">
        <v>36</v>
      </c>
      <c r="C919" s="1" t="s">
        <v>18</v>
      </c>
      <c r="D919" s="1" t="s">
        <v>27</v>
      </c>
      <c r="E919" s="10">
        <v>4</v>
      </c>
      <c r="F919" s="10">
        <v>1969</v>
      </c>
      <c r="G919" s="1" t="s">
        <v>34</v>
      </c>
      <c r="H919" s="10">
        <f t="shared" si="28"/>
        <v>7876</v>
      </c>
      <c r="I919" s="7">
        <v>6618.708883035526</v>
      </c>
      <c r="J919" s="7">
        <f t="shared" si="29"/>
        <v>1257.291116964474</v>
      </c>
      <c r="K919" s="1">
        <f>IF(B919="North",28.6,
IF(B919="South",13,
IF(B919="East",22.6,
IF(B919="West",19,
23.5))))</f>
        <v>23.5</v>
      </c>
      <c r="L919" s="1">
        <f>IF(B919="North",77.2,
IF(B919="South",80.2,
IF(B919="East",88.4,
IF(B919="West",72.8,
78.9))))</f>
        <v>78.900000000000006</v>
      </c>
    </row>
    <row r="920" spans="1:12" x14ac:dyDescent="0.25">
      <c r="A920" s="5">
        <v>45304</v>
      </c>
      <c r="B920" s="1" t="s">
        <v>12</v>
      </c>
      <c r="C920" s="1" t="s">
        <v>24</v>
      </c>
      <c r="D920" s="1" t="s">
        <v>30</v>
      </c>
      <c r="E920" s="10">
        <v>1</v>
      </c>
      <c r="F920" s="10">
        <v>1275</v>
      </c>
      <c r="G920" s="1" t="s">
        <v>35</v>
      </c>
      <c r="H920" s="10">
        <f t="shared" si="28"/>
        <v>1275</v>
      </c>
      <c r="I920" s="7">
        <v>946.59381112650385</v>
      </c>
      <c r="J920" s="7">
        <f t="shared" si="29"/>
        <v>328.40618887349615</v>
      </c>
      <c r="K920" s="1">
        <f>IF(B920="North",28.6,
IF(B920="South",13,
IF(B920="East",22.6,
IF(B920="West",19,
23.5))))</f>
        <v>22.6</v>
      </c>
      <c r="L920" s="1">
        <f>IF(B920="North",77.2,
IF(B920="South",80.2,
IF(B920="East",88.4,
IF(B920="West",72.8,
78.9))))</f>
        <v>88.4</v>
      </c>
    </row>
    <row r="921" spans="1:12" x14ac:dyDescent="0.25">
      <c r="A921" s="5">
        <v>45503</v>
      </c>
      <c r="B921" s="1" t="s">
        <v>10</v>
      </c>
      <c r="C921" s="1" t="s">
        <v>18</v>
      </c>
      <c r="D921" s="1" t="s">
        <v>28</v>
      </c>
      <c r="E921" s="10">
        <v>7</v>
      </c>
      <c r="F921" s="10">
        <v>1958</v>
      </c>
      <c r="G921" s="1" t="s">
        <v>34</v>
      </c>
      <c r="H921" s="10">
        <f t="shared" si="28"/>
        <v>13706</v>
      </c>
      <c r="I921" s="7">
        <v>10876.14552098793</v>
      </c>
      <c r="J921" s="7">
        <f t="shared" si="29"/>
        <v>2829.8544790120704</v>
      </c>
      <c r="K921" s="1">
        <f>IF(B921="North",28.6,
IF(B921="South",13,
IF(B921="East",22.6,
IF(B921="West",19,
23.5))))</f>
        <v>28.6</v>
      </c>
      <c r="L921" s="1">
        <f>IF(B921="North",77.2,
IF(B921="South",80.2,
IF(B921="East",88.4,
IF(B921="West",72.8,
78.9))))</f>
        <v>77.2</v>
      </c>
    </row>
    <row r="922" spans="1:12" x14ac:dyDescent="0.25">
      <c r="A922" s="5">
        <v>45316</v>
      </c>
      <c r="B922" s="1" t="s">
        <v>13</v>
      </c>
      <c r="C922" s="1" t="s">
        <v>24</v>
      </c>
      <c r="D922" s="1" t="s">
        <v>25</v>
      </c>
      <c r="E922" s="10">
        <v>9</v>
      </c>
      <c r="F922" s="10">
        <v>850</v>
      </c>
      <c r="G922" s="1" t="s">
        <v>35</v>
      </c>
      <c r="H922" s="10">
        <f t="shared" si="28"/>
        <v>7650</v>
      </c>
      <c r="I922" s="7">
        <v>5737.3035201544444</v>
      </c>
      <c r="J922" s="7">
        <f t="shared" si="29"/>
        <v>1912.6964798455556</v>
      </c>
      <c r="K922" s="1">
        <f>IF(B922="North",28.6,
IF(B922="South",13,
IF(B922="East",22.6,
IF(B922="West",19,
23.5))))</f>
        <v>13</v>
      </c>
      <c r="L922" s="1">
        <f>IF(B922="North",77.2,
IF(B922="South",80.2,
IF(B922="East",88.4,
IF(B922="West",72.8,
78.9))))</f>
        <v>80.2</v>
      </c>
    </row>
    <row r="923" spans="1:12" x14ac:dyDescent="0.25">
      <c r="A923" s="5">
        <v>45359</v>
      </c>
      <c r="B923" s="1" t="s">
        <v>11</v>
      </c>
      <c r="C923" s="1" t="s">
        <v>17</v>
      </c>
      <c r="D923" s="1" t="s">
        <v>31</v>
      </c>
      <c r="E923" s="10">
        <v>8</v>
      </c>
      <c r="F923" s="10">
        <v>726</v>
      </c>
      <c r="G923" s="1" t="s">
        <v>33</v>
      </c>
      <c r="H923" s="10">
        <f t="shared" si="28"/>
        <v>5808</v>
      </c>
      <c r="I923" s="7">
        <v>4584.7287799715559</v>
      </c>
      <c r="J923" s="7">
        <f t="shared" si="29"/>
        <v>1223.2712200284441</v>
      </c>
      <c r="K923" s="1">
        <f>IF(B923="North",28.6,
IF(B923="South",13,
IF(B923="East",22.6,
IF(B923="West",19,
23.5))))</f>
        <v>19</v>
      </c>
      <c r="L923" s="1">
        <f>IF(B923="North",77.2,
IF(B923="South",80.2,
IF(B923="East",88.4,
IF(B923="West",72.8,
78.9))))</f>
        <v>72.8</v>
      </c>
    </row>
    <row r="924" spans="1:12" x14ac:dyDescent="0.25">
      <c r="A924" s="5">
        <v>45358</v>
      </c>
      <c r="B924" s="1" t="s">
        <v>10</v>
      </c>
      <c r="C924" s="1" t="s">
        <v>24</v>
      </c>
      <c r="D924" s="1" t="s">
        <v>26</v>
      </c>
      <c r="E924" s="10">
        <v>5</v>
      </c>
      <c r="F924" s="10">
        <v>1442</v>
      </c>
      <c r="G924" s="1" t="s">
        <v>35</v>
      </c>
      <c r="H924" s="10">
        <f t="shared" si="28"/>
        <v>7210</v>
      </c>
      <c r="I924" s="7">
        <v>4624.5608695703249</v>
      </c>
      <c r="J924" s="7">
        <f t="shared" si="29"/>
        <v>2585.4391304296751</v>
      </c>
      <c r="K924" s="1">
        <f>IF(B924="North",28.6,
IF(B924="South",13,
IF(B924="East",22.6,
IF(B924="West",19,
23.5))))</f>
        <v>28.6</v>
      </c>
      <c r="L924" s="1">
        <f>IF(B924="North",77.2,
IF(B924="South",80.2,
IF(B924="East",88.4,
IF(B924="West",72.8,
78.9))))</f>
        <v>77.2</v>
      </c>
    </row>
    <row r="925" spans="1:12" x14ac:dyDescent="0.25">
      <c r="A925" s="5">
        <v>45524</v>
      </c>
      <c r="B925" s="1" t="s">
        <v>10</v>
      </c>
      <c r="C925" s="1" t="s">
        <v>20</v>
      </c>
      <c r="D925" s="1" t="s">
        <v>32</v>
      </c>
      <c r="E925" s="10">
        <v>19</v>
      </c>
      <c r="F925" s="10">
        <v>1492</v>
      </c>
      <c r="G925" s="1" t="s">
        <v>33</v>
      </c>
      <c r="H925" s="10">
        <f t="shared" si="28"/>
        <v>28348</v>
      </c>
      <c r="I925" s="7">
        <v>17337.60890141303</v>
      </c>
      <c r="J925" s="7">
        <f t="shared" si="29"/>
        <v>11010.39109858697</v>
      </c>
      <c r="K925" s="1">
        <f>IF(B925="North",28.6,
IF(B925="South",13,
IF(B925="East",22.6,
IF(B925="West",19,
23.5))))</f>
        <v>28.6</v>
      </c>
      <c r="L925" s="1">
        <f>IF(B925="North",77.2,
IF(B925="South",80.2,
IF(B925="East",88.4,
IF(B925="West",72.8,
78.9))))</f>
        <v>77.2</v>
      </c>
    </row>
    <row r="926" spans="1:12" x14ac:dyDescent="0.25">
      <c r="A926" s="5">
        <v>45400</v>
      </c>
      <c r="B926" s="1" t="s">
        <v>13</v>
      </c>
      <c r="C926" s="1" t="s">
        <v>19</v>
      </c>
      <c r="D926" s="1" t="s">
        <v>27</v>
      </c>
      <c r="E926" s="10">
        <v>10</v>
      </c>
      <c r="F926" s="10">
        <v>1729</v>
      </c>
      <c r="G926" s="1" t="s">
        <v>35</v>
      </c>
      <c r="H926" s="10">
        <f t="shared" si="28"/>
        <v>17290</v>
      </c>
      <c r="I926" s="7">
        <v>11084.10759135238</v>
      </c>
      <c r="J926" s="7">
        <f t="shared" si="29"/>
        <v>6205.89240864762</v>
      </c>
      <c r="K926" s="1">
        <f>IF(B926="North",28.6,
IF(B926="South",13,
IF(B926="East",22.6,
IF(B926="West",19,
23.5))))</f>
        <v>13</v>
      </c>
      <c r="L926" s="1">
        <f>IF(B926="North",77.2,
IF(B926="South",80.2,
IF(B926="East",88.4,
IF(B926="West",72.8,
78.9))))</f>
        <v>80.2</v>
      </c>
    </row>
    <row r="927" spans="1:12" x14ac:dyDescent="0.25">
      <c r="A927" s="5">
        <v>45437</v>
      </c>
      <c r="B927" s="1" t="s">
        <v>13</v>
      </c>
      <c r="C927" s="1" t="s">
        <v>24</v>
      </c>
      <c r="D927" s="1" t="s">
        <v>25</v>
      </c>
      <c r="E927" s="10">
        <v>11</v>
      </c>
      <c r="F927" s="10">
        <v>1094</v>
      </c>
      <c r="G927" s="1" t="s">
        <v>35</v>
      </c>
      <c r="H927" s="10">
        <f t="shared" si="28"/>
        <v>12034</v>
      </c>
      <c r="I927" s="7">
        <v>8252.3328698657151</v>
      </c>
      <c r="J927" s="7">
        <f t="shared" si="29"/>
        <v>3781.6671301342849</v>
      </c>
      <c r="K927" s="1">
        <f>IF(B927="North",28.6,
IF(B927="South",13,
IF(B927="East",22.6,
IF(B927="West",19,
23.5))))</f>
        <v>13</v>
      </c>
      <c r="L927" s="1">
        <f>IF(B927="North",77.2,
IF(B927="South",80.2,
IF(B927="East",88.4,
IF(B927="West",72.8,
78.9))))</f>
        <v>80.2</v>
      </c>
    </row>
    <row r="928" spans="1:12" x14ac:dyDescent="0.25">
      <c r="A928" s="5">
        <v>45402</v>
      </c>
      <c r="B928" s="1" t="s">
        <v>10</v>
      </c>
      <c r="C928" s="1" t="s">
        <v>24</v>
      </c>
      <c r="D928" s="1" t="s">
        <v>32</v>
      </c>
      <c r="E928" s="10">
        <v>15</v>
      </c>
      <c r="F928" s="10">
        <v>1683</v>
      </c>
      <c r="G928" s="1" t="s">
        <v>35</v>
      </c>
      <c r="H928" s="10">
        <f t="shared" si="28"/>
        <v>25245</v>
      </c>
      <c r="I928" s="7">
        <v>17065.792138950739</v>
      </c>
      <c r="J928" s="7">
        <f t="shared" si="29"/>
        <v>8179.2078610492608</v>
      </c>
      <c r="K928" s="1">
        <f>IF(B928="North",28.6,
IF(B928="South",13,
IF(B928="East",22.6,
IF(B928="West",19,
23.5))))</f>
        <v>28.6</v>
      </c>
      <c r="L928" s="1">
        <f>IF(B928="North",77.2,
IF(B928="South",80.2,
IF(B928="East",88.4,
IF(B928="West",72.8,
78.9))))</f>
        <v>77.2</v>
      </c>
    </row>
    <row r="929" spans="1:12" x14ac:dyDescent="0.25">
      <c r="A929" s="5">
        <v>45519</v>
      </c>
      <c r="B929" s="1" t="s">
        <v>10</v>
      </c>
      <c r="C929" s="1" t="s">
        <v>17</v>
      </c>
      <c r="D929" s="1" t="s">
        <v>26</v>
      </c>
      <c r="E929" s="10">
        <v>6</v>
      </c>
      <c r="F929" s="10">
        <v>802</v>
      </c>
      <c r="G929" s="1" t="s">
        <v>33</v>
      </c>
      <c r="H929" s="10">
        <f t="shared" si="28"/>
        <v>4812</v>
      </c>
      <c r="I929" s="7">
        <v>3775.2671347701098</v>
      </c>
      <c r="J929" s="7">
        <f t="shared" si="29"/>
        <v>1036.7328652298902</v>
      </c>
      <c r="K929" s="1">
        <f>IF(B929="North",28.6,
IF(B929="South",13,
IF(B929="East",22.6,
IF(B929="West",19,
23.5))))</f>
        <v>28.6</v>
      </c>
      <c r="L929" s="1">
        <f>IF(B929="North",77.2,
IF(B929="South",80.2,
IF(B929="East",88.4,
IF(B929="West",72.8,
78.9))))</f>
        <v>77.2</v>
      </c>
    </row>
    <row r="930" spans="1:12" x14ac:dyDescent="0.25">
      <c r="A930" s="5">
        <v>45402</v>
      </c>
      <c r="B930" s="1" t="s">
        <v>12</v>
      </c>
      <c r="C930" s="1" t="s">
        <v>20</v>
      </c>
      <c r="D930" s="1" t="s">
        <v>25</v>
      </c>
      <c r="E930" s="10">
        <v>15</v>
      </c>
      <c r="F930" s="10">
        <v>561</v>
      </c>
      <c r="G930" s="1" t="s">
        <v>33</v>
      </c>
      <c r="H930" s="10">
        <f t="shared" si="28"/>
        <v>8415</v>
      </c>
      <c r="I930" s="7">
        <v>6199.8928512268913</v>
      </c>
      <c r="J930" s="7">
        <f t="shared" si="29"/>
        <v>2215.1071487731087</v>
      </c>
      <c r="K930" s="1">
        <f>IF(B930="North",28.6,
IF(B930="South",13,
IF(B930="East",22.6,
IF(B930="West",19,
23.5))))</f>
        <v>22.6</v>
      </c>
      <c r="L930" s="1">
        <f>IF(B930="North",77.2,
IF(B930="South",80.2,
IF(B930="East",88.4,
IF(B930="West",72.8,
78.9))))</f>
        <v>88.4</v>
      </c>
    </row>
    <row r="931" spans="1:12" x14ac:dyDescent="0.25">
      <c r="A931" s="5">
        <v>45325</v>
      </c>
      <c r="B931" s="1" t="s">
        <v>11</v>
      </c>
      <c r="C931" s="1" t="s">
        <v>23</v>
      </c>
      <c r="D931" s="1" t="s">
        <v>29</v>
      </c>
      <c r="E931" s="10">
        <v>5</v>
      </c>
      <c r="F931" s="10">
        <v>111</v>
      </c>
      <c r="G931" s="1" t="s">
        <v>34</v>
      </c>
      <c r="H931" s="10">
        <f t="shared" si="28"/>
        <v>555</v>
      </c>
      <c r="I931" s="7">
        <v>339.46219484097003</v>
      </c>
      <c r="J931" s="7">
        <f t="shared" si="29"/>
        <v>215.53780515902997</v>
      </c>
      <c r="K931" s="1">
        <f>IF(B931="North",28.6,
IF(B931="South",13,
IF(B931="East",22.6,
IF(B931="West",19,
23.5))))</f>
        <v>19</v>
      </c>
      <c r="L931" s="1">
        <f>IF(B931="North",77.2,
IF(B931="South",80.2,
IF(B931="East",88.4,
IF(B931="West",72.8,
78.9))))</f>
        <v>72.8</v>
      </c>
    </row>
    <row r="932" spans="1:12" x14ac:dyDescent="0.25">
      <c r="A932" s="5">
        <v>45402</v>
      </c>
      <c r="B932" s="1" t="s">
        <v>12</v>
      </c>
      <c r="C932" s="1" t="s">
        <v>23</v>
      </c>
      <c r="D932" s="1" t="s">
        <v>29</v>
      </c>
      <c r="E932" s="10">
        <v>19</v>
      </c>
      <c r="F932" s="10">
        <v>1279</v>
      </c>
      <c r="G932" s="1" t="s">
        <v>34</v>
      </c>
      <c r="H932" s="10">
        <f t="shared" si="28"/>
        <v>24301</v>
      </c>
      <c r="I932" s="7">
        <v>14834.782916823009</v>
      </c>
      <c r="J932" s="7">
        <f t="shared" si="29"/>
        <v>9466.2170831769909</v>
      </c>
      <c r="K932" s="1">
        <f>IF(B932="North",28.6,
IF(B932="South",13,
IF(B932="East",22.6,
IF(B932="West",19,
23.5))))</f>
        <v>22.6</v>
      </c>
      <c r="L932" s="1">
        <f>IF(B932="North",77.2,
IF(B932="South",80.2,
IF(B932="East",88.4,
IF(B932="West",72.8,
78.9))))</f>
        <v>88.4</v>
      </c>
    </row>
    <row r="933" spans="1:12" x14ac:dyDescent="0.25">
      <c r="A933" s="5">
        <v>45555</v>
      </c>
      <c r="B933" s="1" t="s">
        <v>13</v>
      </c>
      <c r="C933" s="1" t="s">
        <v>23</v>
      </c>
      <c r="D933" s="1" t="s">
        <v>32</v>
      </c>
      <c r="E933" s="10">
        <v>19</v>
      </c>
      <c r="F933" s="10">
        <v>1807</v>
      </c>
      <c r="G933" s="1" t="s">
        <v>34</v>
      </c>
      <c r="H933" s="10">
        <f t="shared" si="28"/>
        <v>34333</v>
      </c>
      <c r="I933" s="7">
        <v>21532.847363042649</v>
      </c>
      <c r="J933" s="7">
        <f t="shared" si="29"/>
        <v>12800.152636957351</v>
      </c>
      <c r="K933" s="1">
        <f>IF(B933="North",28.6,
IF(B933="South",13,
IF(B933="East",22.6,
IF(B933="West",19,
23.5))))</f>
        <v>13</v>
      </c>
      <c r="L933" s="1">
        <f>IF(B933="North",77.2,
IF(B933="South",80.2,
IF(B933="East",88.4,
IF(B933="West",72.8,
78.9))))</f>
        <v>80.2</v>
      </c>
    </row>
    <row r="934" spans="1:12" x14ac:dyDescent="0.25">
      <c r="A934" s="5">
        <v>45527</v>
      </c>
      <c r="B934" s="1" t="s">
        <v>12</v>
      </c>
      <c r="C934" s="1" t="s">
        <v>23</v>
      </c>
      <c r="D934" s="1" t="s">
        <v>31</v>
      </c>
      <c r="E934" s="10">
        <v>10</v>
      </c>
      <c r="F934" s="10">
        <v>576</v>
      </c>
      <c r="G934" s="1" t="s">
        <v>34</v>
      </c>
      <c r="H934" s="10">
        <f t="shared" si="28"/>
        <v>5760</v>
      </c>
      <c r="I934" s="7">
        <v>4066.124239988696</v>
      </c>
      <c r="J934" s="7">
        <f t="shared" si="29"/>
        <v>1693.875760011304</v>
      </c>
      <c r="K934" s="1">
        <f>IF(B934="North",28.6,
IF(B934="South",13,
IF(B934="East",22.6,
IF(B934="West",19,
23.5))))</f>
        <v>22.6</v>
      </c>
      <c r="L934" s="1">
        <f>IF(B934="North",77.2,
IF(B934="South",80.2,
IF(B934="East",88.4,
IF(B934="West",72.8,
78.9))))</f>
        <v>88.4</v>
      </c>
    </row>
    <row r="935" spans="1:12" x14ac:dyDescent="0.25">
      <c r="A935" s="5">
        <v>45374</v>
      </c>
      <c r="B935" s="1" t="s">
        <v>12</v>
      </c>
      <c r="C935" s="1" t="s">
        <v>19</v>
      </c>
      <c r="D935" s="1" t="s">
        <v>25</v>
      </c>
      <c r="E935" s="10">
        <v>12</v>
      </c>
      <c r="F935" s="10">
        <v>1038</v>
      </c>
      <c r="G935" s="1" t="s">
        <v>35</v>
      </c>
      <c r="H935" s="10">
        <f t="shared" si="28"/>
        <v>12456</v>
      </c>
      <c r="I935" s="7">
        <v>7496.7044511612639</v>
      </c>
      <c r="J935" s="7">
        <f t="shared" si="29"/>
        <v>4959.2955488387361</v>
      </c>
      <c r="K935" s="1">
        <f>IF(B935="North",28.6,
IF(B935="South",13,
IF(B935="East",22.6,
IF(B935="West",19,
23.5))))</f>
        <v>22.6</v>
      </c>
      <c r="L935" s="1">
        <f>IF(B935="North",77.2,
IF(B935="South",80.2,
IF(B935="East",88.4,
IF(B935="West",72.8,
78.9))))</f>
        <v>88.4</v>
      </c>
    </row>
    <row r="936" spans="1:12" x14ac:dyDescent="0.25">
      <c r="A936" s="5">
        <v>45333</v>
      </c>
      <c r="B936" s="1" t="s">
        <v>12</v>
      </c>
      <c r="C936" s="1" t="s">
        <v>40</v>
      </c>
      <c r="D936" s="1" t="s">
        <v>28</v>
      </c>
      <c r="E936" s="10">
        <v>4</v>
      </c>
      <c r="F936" s="10">
        <v>500</v>
      </c>
      <c r="G936" s="1" t="s">
        <v>34</v>
      </c>
      <c r="H936" s="10">
        <f t="shared" si="28"/>
        <v>2000</v>
      </c>
      <c r="I936" s="7">
        <v>1496.3923592580841</v>
      </c>
      <c r="J936" s="7">
        <f t="shared" si="29"/>
        <v>503.60764074191593</v>
      </c>
      <c r="K936" s="1">
        <f>IF(B936="North",28.6,
IF(B936="South",13,
IF(B936="East",22.6,
IF(B936="West",19,
23.5))))</f>
        <v>22.6</v>
      </c>
      <c r="L936" s="1">
        <f>IF(B936="North",77.2,
IF(B936="South",80.2,
IF(B936="East",88.4,
IF(B936="West",72.8,
78.9))))</f>
        <v>88.4</v>
      </c>
    </row>
    <row r="937" spans="1:12" x14ac:dyDescent="0.25">
      <c r="A937" s="5">
        <v>45392</v>
      </c>
      <c r="B937" s="1" t="s">
        <v>12</v>
      </c>
      <c r="C937" s="1" t="s">
        <v>17</v>
      </c>
      <c r="D937" s="1" t="s">
        <v>25</v>
      </c>
      <c r="E937" s="10">
        <v>18</v>
      </c>
      <c r="F937" s="10">
        <v>907</v>
      </c>
      <c r="G937" s="1" t="s">
        <v>33</v>
      </c>
      <c r="H937" s="10">
        <f t="shared" si="28"/>
        <v>16326</v>
      </c>
      <c r="I937" s="7">
        <v>11562.0878818541</v>
      </c>
      <c r="J937" s="7">
        <f t="shared" si="29"/>
        <v>4763.9121181458995</v>
      </c>
      <c r="K937" s="1">
        <f>IF(B937="North",28.6,
IF(B937="South",13,
IF(B937="East",22.6,
IF(B937="West",19,
23.5))))</f>
        <v>22.6</v>
      </c>
      <c r="L937" s="1">
        <f>IF(B937="North",77.2,
IF(B937="South",80.2,
IF(B937="East",88.4,
IF(B937="West",72.8,
78.9))))</f>
        <v>88.4</v>
      </c>
    </row>
    <row r="938" spans="1:12" x14ac:dyDescent="0.25">
      <c r="A938" s="5">
        <v>45297</v>
      </c>
      <c r="B938" s="1" t="s">
        <v>11</v>
      </c>
      <c r="C938" s="1" t="s">
        <v>17</v>
      </c>
      <c r="D938" s="1" t="s">
        <v>31</v>
      </c>
      <c r="E938" s="10">
        <v>16</v>
      </c>
      <c r="F938" s="10">
        <v>276</v>
      </c>
      <c r="G938" s="1" t="s">
        <v>33</v>
      </c>
      <c r="H938" s="10">
        <f t="shared" si="28"/>
        <v>4416</v>
      </c>
      <c r="I938" s="7">
        <v>3385.4486374736071</v>
      </c>
      <c r="J938" s="7">
        <f t="shared" si="29"/>
        <v>1030.5513625263929</v>
      </c>
      <c r="K938" s="1">
        <f>IF(B938="North",28.6,
IF(B938="South",13,
IF(B938="East",22.6,
IF(B938="West",19,
23.5))))</f>
        <v>19</v>
      </c>
      <c r="L938" s="1">
        <f>IF(B938="North",77.2,
IF(B938="South",80.2,
IF(B938="East",88.4,
IF(B938="West",72.8,
78.9))))</f>
        <v>72.8</v>
      </c>
    </row>
    <row r="939" spans="1:12" x14ac:dyDescent="0.25">
      <c r="A939" s="5">
        <v>45471</v>
      </c>
      <c r="B939" s="1" t="s">
        <v>11</v>
      </c>
      <c r="C939" s="1" t="s">
        <v>21</v>
      </c>
      <c r="D939" s="1" t="s">
        <v>25</v>
      </c>
      <c r="E939" s="10">
        <v>8</v>
      </c>
      <c r="F939" s="10">
        <v>1464</v>
      </c>
      <c r="G939" s="1" t="s">
        <v>35</v>
      </c>
      <c r="H939" s="10">
        <f t="shared" si="28"/>
        <v>11712</v>
      </c>
      <c r="I939" s="7">
        <v>9559.8915213917298</v>
      </c>
      <c r="J939" s="7">
        <f t="shared" si="29"/>
        <v>2152.1084786082702</v>
      </c>
      <c r="K939" s="1">
        <f>IF(B939="North",28.6,
IF(B939="South",13,
IF(B939="East",22.6,
IF(B939="West",19,
23.5))))</f>
        <v>19</v>
      </c>
      <c r="L939" s="1">
        <f>IF(B939="North",77.2,
IF(B939="South",80.2,
IF(B939="East",88.4,
IF(B939="West",72.8,
78.9))))</f>
        <v>72.8</v>
      </c>
    </row>
    <row r="940" spans="1:12" x14ac:dyDescent="0.25">
      <c r="A940" s="5">
        <v>45573</v>
      </c>
      <c r="B940" s="1" t="s">
        <v>10</v>
      </c>
      <c r="C940" s="1" t="s">
        <v>20</v>
      </c>
      <c r="D940" s="1" t="s">
        <v>32</v>
      </c>
      <c r="E940" s="10">
        <v>4</v>
      </c>
      <c r="F940" s="10">
        <v>156</v>
      </c>
      <c r="G940" s="1" t="s">
        <v>33</v>
      </c>
      <c r="H940" s="10">
        <f t="shared" si="28"/>
        <v>624</v>
      </c>
      <c r="I940" s="7">
        <v>421.38211105782881</v>
      </c>
      <c r="J940" s="7">
        <f t="shared" si="29"/>
        <v>202.61788894217119</v>
      </c>
      <c r="K940" s="1">
        <f>IF(B940="North",28.6,
IF(B940="South",13,
IF(B940="East",22.6,
IF(B940="West",19,
23.5))))</f>
        <v>28.6</v>
      </c>
      <c r="L940" s="1">
        <f>IF(B940="North",77.2,
IF(B940="South",80.2,
IF(B940="East",88.4,
IF(B940="West",72.8,
78.9))))</f>
        <v>77.2</v>
      </c>
    </row>
    <row r="941" spans="1:12" x14ac:dyDescent="0.25">
      <c r="A941" s="5">
        <v>45611</v>
      </c>
      <c r="B941" s="1" t="s">
        <v>13</v>
      </c>
      <c r="C941" s="1" t="s">
        <v>23</v>
      </c>
      <c r="D941" s="1" t="s">
        <v>31</v>
      </c>
      <c r="E941" s="10">
        <v>12</v>
      </c>
      <c r="F941" s="10">
        <v>1978</v>
      </c>
      <c r="G941" s="1" t="s">
        <v>34</v>
      </c>
      <c r="H941" s="10">
        <f t="shared" si="28"/>
        <v>23736</v>
      </c>
      <c r="I941" s="7">
        <v>15360.16123803594</v>
      </c>
      <c r="J941" s="7">
        <f t="shared" si="29"/>
        <v>8375.8387619640598</v>
      </c>
      <c r="K941" s="1">
        <f>IF(B941="North",28.6,
IF(B941="South",13,
IF(B941="East",22.6,
IF(B941="West",19,
23.5))))</f>
        <v>13</v>
      </c>
      <c r="L941" s="1">
        <f>IF(B941="North",77.2,
IF(B941="South",80.2,
IF(B941="East",88.4,
IF(B941="West",72.8,
78.9))))</f>
        <v>80.2</v>
      </c>
    </row>
    <row r="942" spans="1:12" x14ac:dyDescent="0.25">
      <c r="A942" s="5">
        <v>45517</v>
      </c>
      <c r="B942" s="1" t="s">
        <v>12</v>
      </c>
      <c r="C942" s="1" t="s">
        <v>19</v>
      </c>
      <c r="D942" s="1" t="s">
        <v>26</v>
      </c>
      <c r="E942" s="10">
        <v>2</v>
      </c>
      <c r="F942" s="10">
        <v>1975</v>
      </c>
      <c r="G942" s="1" t="s">
        <v>35</v>
      </c>
      <c r="H942" s="10">
        <f t="shared" si="28"/>
        <v>3950</v>
      </c>
      <c r="I942" s="7">
        <v>2699.4934638166142</v>
      </c>
      <c r="J942" s="7">
        <f t="shared" si="29"/>
        <v>1250.5065361833858</v>
      </c>
      <c r="K942" s="1">
        <f>IF(B942="North",28.6,
IF(B942="South",13,
IF(B942="East",22.6,
IF(B942="West",19,
23.5))))</f>
        <v>22.6</v>
      </c>
      <c r="L942" s="1">
        <f>IF(B942="North",77.2,
IF(B942="South",80.2,
IF(B942="East",88.4,
IF(B942="West",72.8,
78.9))))</f>
        <v>88.4</v>
      </c>
    </row>
    <row r="943" spans="1:12" x14ac:dyDescent="0.25">
      <c r="A943" s="5">
        <v>45606</v>
      </c>
      <c r="B943" s="1" t="s">
        <v>10</v>
      </c>
      <c r="C943" s="1" t="s">
        <v>20</v>
      </c>
      <c r="D943" s="1" t="s">
        <v>27</v>
      </c>
      <c r="E943" s="10">
        <v>4</v>
      </c>
      <c r="F943" s="10">
        <v>547</v>
      </c>
      <c r="G943" s="1" t="s">
        <v>33</v>
      </c>
      <c r="H943" s="10">
        <f t="shared" si="28"/>
        <v>2188</v>
      </c>
      <c r="I943" s="7">
        <v>1313.957352633231</v>
      </c>
      <c r="J943" s="7">
        <f t="shared" si="29"/>
        <v>874.04264736676896</v>
      </c>
      <c r="K943" s="1">
        <f>IF(B943="North",28.6,
IF(B943="South",13,
IF(B943="East",22.6,
IF(B943="West",19,
23.5))))</f>
        <v>28.6</v>
      </c>
      <c r="L943" s="1">
        <f>IF(B943="North",77.2,
IF(B943="South",80.2,
IF(B943="East",88.4,
IF(B943="West",72.8,
78.9))))</f>
        <v>77.2</v>
      </c>
    </row>
    <row r="944" spans="1:12" x14ac:dyDescent="0.25">
      <c r="A944" s="5">
        <v>45656</v>
      </c>
      <c r="B944" s="1" t="s">
        <v>10</v>
      </c>
      <c r="C944" s="1" t="s">
        <v>23</v>
      </c>
      <c r="D944" s="1" t="s">
        <v>31</v>
      </c>
      <c r="E944" s="10">
        <v>5</v>
      </c>
      <c r="F944" s="10">
        <v>302</v>
      </c>
      <c r="G944" s="1" t="s">
        <v>34</v>
      </c>
      <c r="H944" s="10">
        <f t="shared" si="28"/>
        <v>1510</v>
      </c>
      <c r="I944" s="7">
        <v>960.36586885317865</v>
      </c>
      <c r="J944" s="7">
        <f t="shared" si="29"/>
        <v>549.63413114682135</v>
      </c>
      <c r="K944" s="1">
        <f>IF(B944="North",28.6,
IF(B944="South",13,
IF(B944="East",22.6,
IF(B944="West",19,
23.5))))</f>
        <v>28.6</v>
      </c>
      <c r="L944" s="1">
        <f>IF(B944="North",77.2,
IF(B944="South",80.2,
IF(B944="East",88.4,
IF(B944="West",72.8,
78.9))))</f>
        <v>77.2</v>
      </c>
    </row>
    <row r="945" spans="1:12" x14ac:dyDescent="0.25">
      <c r="A945" s="5">
        <v>45520</v>
      </c>
      <c r="B945" s="1" t="s">
        <v>10</v>
      </c>
      <c r="C945" s="1" t="s">
        <v>19</v>
      </c>
      <c r="D945" s="1" t="s">
        <v>25</v>
      </c>
      <c r="E945" s="10">
        <v>3</v>
      </c>
      <c r="F945" s="10">
        <v>1820</v>
      </c>
      <c r="G945" s="1" t="s">
        <v>35</v>
      </c>
      <c r="H945" s="10">
        <f t="shared" si="28"/>
        <v>5460</v>
      </c>
      <c r="I945" s="7">
        <v>4505.860135718216</v>
      </c>
      <c r="J945" s="7">
        <f t="shared" si="29"/>
        <v>954.13986428178396</v>
      </c>
      <c r="K945" s="1">
        <f>IF(B945="North",28.6,
IF(B945="South",13,
IF(B945="East",22.6,
IF(B945="West",19,
23.5))))</f>
        <v>28.6</v>
      </c>
      <c r="L945" s="1">
        <f>IF(B945="North",77.2,
IF(B945="South",80.2,
IF(B945="East",88.4,
IF(B945="West",72.8,
78.9))))</f>
        <v>77.2</v>
      </c>
    </row>
    <row r="946" spans="1:12" x14ac:dyDescent="0.25">
      <c r="A946" s="5">
        <v>45580</v>
      </c>
      <c r="B946" s="1" t="s">
        <v>11</v>
      </c>
      <c r="C946" s="1" t="s">
        <v>20</v>
      </c>
      <c r="D946" s="1" t="s">
        <v>26</v>
      </c>
      <c r="E946" s="10">
        <v>9</v>
      </c>
      <c r="F946" s="10">
        <v>1756</v>
      </c>
      <c r="G946" s="1" t="s">
        <v>33</v>
      </c>
      <c r="H946" s="10">
        <f t="shared" si="28"/>
        <v>15804</v>
      </c>
      <c r="I946" s="7">
        <v>10538.77180118823</v>
      </c>
      <c r="J946" s="7">
        <f t="shared" si="29"/>
        <v>5265.2281988117702</v>
      </c>
      <c r="K946" s="1">
        <f>IF(B946="North",28.6,
IF(B946="South",13,
IF(B946="East",22.6,
IF(B946="West",19,
23.5))))</f>
        <v>19</v>
      </c>
      <c r="L946" s="1">
        <f>IF(B946="North",77.2,
IF(B946="South",80.2,
IF(B946="East",88.4,
IF(B946="West",72.8,
78.9))))</f>
        <v>72.8</v>
      </c>
    </row>
    <row r="947" spans="1:12" x14ac:dyDescent="0.25">
      <c r="A947" s="5">
        <v>45441</v>
      </c>
      <c r="B947" s="1" t="s">
        <v>12</v>
      </c>
      <c r="C947" s="1" t="s">
        <v>17</v>
      </c>
      <c r="D947" s="1" t="s">
        <v>27</v>
      </c>
      <c r="E947" s="10">
        <v>18</v>
      </c>
      <c r="F947" s="10">
        <v>837</v>
      </c>
      <c r="G947" s="1" t="s">
        <v>33</v>
      </c>
      <c r="H947" s="10">
        <f t="shared" si="28"/>
        <v>15066</v>
      </c>
      <c r="I947" s="7">
        <v>13533.635484867489</v>
      </c>
      <c r="J947" s="7">
        <f t="shared" si="29"/>
        <v>1532.3645151325109</v>
      </c>
      <c r="K947" s="1">
        <f>IF(B947="North",28.6,
IF(B947="South",13,
IF(B947="East",22.6,
IF(B947="West",19,
23.5))))</f>
        <v>22.6</v>
      </c>
      <c r="L947" s="1">
        <f>IF(B947="North",77.2,
IF(B947="South",80.2,
IF(B947="East",88.4,
IF(B947="West",72.8,
78.9))))</f>
        <v>88.4</v>
      </c>
    </row>
    <row r="948" spans="1:12" x14ac:dyDescent="0.25">
      <c r="A948" s="5">
        <v>45568</v>
      </c>
      <c r="B948" s="1" t="s">
        <v>12</v>
      </c>
      <c r="C948" s="1" t="s">
        <v>17</v>
      </c>
      <c r="D948" s="1" t="s">
        <v>29</v>
      </c>
      <c r="E948" s="10">
        <v>11</v>
      </c>
      <c r="F948" s="10">
        <v>301</v>
      </c>
      <c r="G948" s="1" t="s">
        <v>33</v>
      </c>
      <c r="H948" s="10">
        <f t="shared" si="28"/>
        <v>3311</v>
      </c>
      <c r="I948" s="7">
        <v>2153.3070501716652</v>
      </c>
      <c r="J948" s="7">
        <f t="shared" si="29"/>
        <v>1157.6929498283348</v>
      </c>
      <c r="K948" s="1">
        <f>IF(B948="North",28.6,
IF(B948="South",13,
IF(B948="East",22.6,
IF(B948="West",19,
23.5))))</f>
        <v>22.6</v>
      </c>
      <c r="L948" s="1">
        <f>IF(B948="North",77.2,
IF(B948="South",80.2,
IF(B948="East",88.4,
IF(B948="West",72.8,
78.9))))</f>
        <v>88.4</v>
      </c>
    </row>
    <row r="949" spans="1:12" x14ac:dyDescent="0.25">
      <c r="A949" s="5">
        <v>45489</v>
      </c>
      <c r="B949" s="1" t="s">
        <v>13</v>
      </c>
      <c r="C949" s="1" t="s">
        <v>18</v>
      </c>
      <c r="D949" s="1" t="s">
        <v>28</v>
      </c>
      <c r="E949" s="10">
        <v>3</v>
      </c>
      <c r="F949" s="10">
        <v>1453</v>
      </c>
      <c r="G949" s="1" t="s">
        <v>34</v>
      </c>
      <c r="H949" s="10">
        <f t="shared" si="28"/>
        <v>4359</v>
      </c>
      <c r="I949" s="7">
        <v>3646.8767724449958</v>
      </c>
      <c r="J949" s="7">
        <f t="shared" si="29"/>
        <v>712.12322755500418</v>
      </c>
      <c r="K949" s="1">
        <f>IF(B949="North",28.6,
IF(B949="South",13,
IF(B949="East",22.6,
IF(B949="West",19,
23.5))))</f>
        <v>13</v>
      </c>
      <c r="L949" s="1">
        <f>IF(B949="North",77.2,
IF(B949="South",80.2,
IF(B949="East",88.4,
IF(B949="West",72.8,
78.9))))</f>
        <v>80.2</v>
      </c>
    </row>
    <row r="950" spans="1:12" x14ac:dyDescent="0.25">
      <c r="A950" s="5">
        <v>45361</v>
      </c>
      <c r="B950" s="1" t="s">
        <v>12</v>
      </c>
      <c r="C950" s="1" t="s">
        <v>22</v>
      </c>
      <c r="D950" s="1" t="s">
        <v>32</v>
      </c>
      <c r="E950" s="10">
        <v>2</v>
      </c>
      <c r="F950" s="10">
        <v>462</v>
      </c>
      <c r="G950" s="1" t="s">
        <v>35</v>
      </c>
      <c r="H950" s="10">
        <f t="shared" si="28"/>
        <v>924</v>
      </c>
      <c r="I950" s="7">
        <v>749.83832759003815</v>
      </c>
      <c r="J950" s="7">
        <f t="shared" si="29"/>
        <v>174.16167240996185</v>
      </c>
      <c r="K950" s="1">
        <f>IF(B950="North",28.6,
IF(B950="South",13,
IF(B950="East",22.6,
IF(B950="West",19,
23.5))))</f>
        <v>22.6</v>
      </c>
      <c r="L950" s="1">
        <f>IF(B950="North",77.2,
IF(B950="South",80.2,
IF(B950="East",88.4,
IF(B950="West",72.8,
78.9))))</f>
        <v>88.4</v>
      </c>
    </row>
    <row r="951" spans="1:12" x14ac:dyDescent="0.25">
      <c r="A951" s="5">
        <v>45403</v>
      </c>
      <c r="B951" s="1" t="s">
        <v>12</v>
      </c>
      <c r="C951" s="1" t="s">
        <v>18</v>
      </c>
      <c r="D951" s="1" t="s">
        <v>25</v>
      </c>
      <c r="E951" s="10">
        <v>9</v>
      </c>
      <c r="F951" s="10">
        <v>991</v>
      </c>
      <c r="G951" s="1" t="s">
        <v>34</v>
      </c>
      <c r="H951" s="10">
        <f t="shared" si="28"/>
        <v>8919</v>
      </c>
      <c r="I951" s="7">
        <v>6213.3289745335951</v>
      </c>
      <c r="J951" s="7">
        <f t="shared" si="29"/>
        <v>2705.6710254664049</v>
      </c>
      <c r="K951" s="1">
        <f>IF(B951="North",28.6,
IF(B951="South",13,
IF(B951="East",22.6,
IF(B951="West",19,
23.5))))</f>
        <v>22.6</v>
      </c>
      <c r="L951" s="1">
        <f>IF(B951="North",77.2,
IF(B951="South",80.2,
IF(B951="East",88.4,
IF(B951="West",72.8,
78.9))))</f>
        <v>88.4</v>
      </c>
    </row>
    <row r="952" spans="1:12" x14ac:dyDescent="0.25">
      <c r="A952" s="5">
        <v>45295</v>
      </c>
      <c r="B952" s="1" t="s">
        <v>10</v>
      </c>
      <c r="C952" s="1" t="s">
        <v>24</v>
      </c>
      <c r="D952" s="1" t="s">
        <v>25</v>
      </c>
      <c r="E952" s="10">
        <v>14</v>
      </c>
      <c r="F952" s="10">
        <v>553</v>
      </c>
      <c r="G952" s="1" t="s">
        <v>35</v>
      </c>
      <c r="H952" s="10">
        <f t="shared" si="28"/>
        <v>7742</v>
      </c>
      <c r="I952" s="7">
        <v>5413.3747348463112</v>
      </c>
      <c r="J952" s="7">
        <f t="shared" si="29"/>
        <v>2328.6252651536888</v>
      </c>
      <c r="K952" s="1">
        <f>IF(B952="North",28.6,
IF(B952="South",13,
IF(B952="East",22.6,
IF(B952="West",19,
23.5))))</f>
        <v>28.6</v>
      </c>
      <c r="L952" s="1">
        <f>IF(B952="North",77.2,
IF(B952="South",80.2,
IF(B952="East",88.4,
IF(B952="West",72.8,
78.9))))</f>
        <v>77.2</v>
      </c>
    </row>
    <row r="953" spans="1:12" x14ac:dyDescent="0.25">
      <c r="A953" s="5">
        <v>45641</v>
      </c>
      <c r="B953" s="1" t="s">
        <v>13</v>
      </c>
      <c r="C953" s="1" t="s">
        <v>18</v>
      </c>
      <c r="D953" s="1" t="s">
        <v>29</v>
      </c>
      <c r="E953" s="10">
        <v>4</v>
      </c>
      <c r="F953" s="10">
        <v>455</v>
      </c>
      <c r="G953" s="1" t="s">
        <v>34</v>
      </c>
      <c r="H953" s="10">
        <f t="shared" si="28"/>
        <v>1820</v>
      </c>
      <c r="I953" s="7">
        <v>1399.699163208039</v>
      </c>
      <c r="J953" s="7">
        <f t="shared" si="29"/>
        <v>420.30083679196105</v>
      </c>
      <c r="K953" s="1">
        <f>IF(B953="North",28.6,
IF(B953="South",13,
IF(B953="East",22.6,
IF(B953="West",19,
23.5))))</f>
        <v>13</v>
      </c>
      <c r="L953" s="1">
        <f>IF(B953="North",77.2,
IF(B953="South",80.2,
IF(B953="East",88.4,
IF(B953="West",72.8,
78.9))))</f>
        <v>80.2</v>
      </c>
    </row>
    <row r="954" spans="1:12" x14ac:dyDescent="0.25">
      <c r="A954" s="5">
        <v>45622</v>
      </c>
      <c r="B954" s="1" t="s">
        <v>12</v>
      </c>
      <c r="C954" s="1" t="s">
        <v>23</v>
      </c>
      <c r="D954" s="1" t="s">
        <v>28</v>
      </c>
      <c r="E954" s="10">
        <v>10</v>
      </c>
      <c r="F954" s="10">
        <v>315</v>
      </c>
      <c r="G954" s="1" t="s">
        <v>34</v>
      </c>
      <c r="H954" s="10">
        <f t="shared" si="28"/>
        <v>3150</v>
      </c>
      <c r="I954" s="7">
        <f>H954*0.7</f>
        <v>2205</v>
      </c>
      <c r="J954" s="7">
        <f t="shared" si="29"/>
        <v>945</v>
      </c>
      <c r="K954" s="1">
        <f>IF(B954="North",28.6,
IF(B954="South",13,
IF(B954="East",22.6,
IF(B954="West",19,
23.5))))</f>
        <v>22.6</v>
      </c>
      <c r="L954" s="1">
        <f>IF(B954="North",77.2,
IF(B954="South",80.2,
IF(B954="East",88.4,
IF(B954="West",72.8,
78.9))))</f>
        <v>88.4</v>
      </c>
    </row>
    <row r="955" spans="1:12" x14ac:dyDescent="0.25">
      <c r="A955" s="5">
        <v>45609</v>
      </c>
      <c r="B955" s="1" t="s">
        <v>11</v>
      </c>
      <c r="C955" s="1" t="s">
        <v>21</v>
      </c>
      <c r="D955" s="1" t="s">
        <v>29</v>
      </c>
      <c r="E955" s="10">
        <v>13</v>
      </c>
      <c r="F955" s="10">
        <v>1071</v>
      </c>
      <c r="G955" s="1" t="s">
        <v>35</v>
      </c>
      <c r="H955" s="10">
        <f t="shared" si="28"/>
        <v>13923</v>
      </c>
      <c r="I955" s="7">
        <v>9966.8642468925918</v>
      </c>
      <c r="J955" s="7">
        <f t="shared" si="29"/>
        <v>3956.1357531074082</v>
      </c>
      <c r="K955" s="1">
        <f>IF(B955="North",28.6,
IF(B955="South",13,
IF(B955="East",22.6,
IF(B955="West",19,
23.5))))</f>
        <v>19</v>
      </c>
      <c r="L955" s="1">
        <f>IF(B955="North",77.2,
IF(B955="South",80.2,
IF(B955="East",88.4,
IF(B955="West",72.8,
78.9))))</f>
        <v>72.8</v>
      </c>
    </row>
    <row r="956" spans="1:12" x14ac:dyDescent="0.25">
      <c r="A956" s="5">
        <v>45641</v>
      </c>
      <c r="B956" s="1" t="s">
        <v>12</v>
      </c>
      <c r="C956" s="1" t="s">
        <v>20</v>
      </c>
      <c r="D956" s="1" t="s">
        <v>30</v>
      </c>
      <c r="E956" s="10">
        <v>18</v>
      </c>
      <c r="F956" s="10">
        <v>654</v>
      </c>
      <c r="G956" s="1" t="s">
        <v>33</v>
      </c>
      <c r="H956" s="10">
        <f t="shared" si="28"/>
        <v>11772</v>
      </c>
      <c r="I956" s="7">
        <v>7279.2628674514444</v>
      </c>
      <c r="J956" s="7">
        <f t="shared" si="29"/>
        <v>4492.7371325485556</v>
      </c>
      <c r="K956" s="1">
        <f>IF(B956="North",28.6,
IF(B956="South",13,
IF(B956="East",22.6,
IF(B956="West",19,
23.5))))</f>
        <v>22.6</v>
      </c>
      <c r="L956" s="1">
        <f>IF(B956="North",77.2,
IF(B956="South",80.2,
IF(B956="East",88.4,
IF(B956="West",72.8,
78.9))))</f>
        <v>88.4</v>
      </c>
    </row>
    <row r="957" spans="1:12" x14ac:dyDescent="0.25">
      <c r="A957" s="5">
        <v>45386</v>
      </c>
      <c r="B957" s="1" t="s">
        <v>10</v>
      </c>
      <c r="C957" s="1" t="s">
        <v>21</v>
      </c>
      <c r="D957" s="1" t="s">
        <v>29</v>
      </c>
      <c r="E957" s="10">
        <v>15</v>
      </c>
      <c r="F957" s="10">
        <v>986</v>
      </c>
      <c r="G957" s="1" t="s">
        <v>35</v>
      </c>
      <c r="H957" s="10">
        <f t="shared" si="28"/>
        <v>14790</v>
      </c>
      <c r="I957" s="7">
        <v>10535.297887915491</v>
      </c>
      <c r="J957" s="7">
        <f t="shared" si="29"/>
        <v>4254.7021120845093</v>
      </c>
      <c r="K957" s="1">
        <f>IF(B957="North",28.6,
IF(B957="South",13,
IF(B957="East",22.6,
IF(B957="West",19,
23.5))))</f>
        <v>28.6</v>
      </c>
      <c r="L957" s="1">
        <f>IF(B957="North",77.2,
IF(B957="South",80.2,
IF(B957="East",88.4,
IF(B957="West",72.8,
78.9))))</f>
        <v>77.2</v>
      </c>
    </row>
    <row r="958" spans="1:12" x14ac:dyDescent="0.25">
      <c r="A958" s="5">
        <v>45443</v>
      </c>
      <c r="B958" s="1" t="s">
        <v>11</v>
      </c>
      <c r="C958" s="1" t="s">
        <v>22</v>
      </c>
      <c r="D958" s="1" t="s">
        <v>26</v>
      </c>
      <c r="E958" s="10">
        <v>10</v>
      </c>
      <c r="F958" s="10">
        <v>122</v>
      </c>
      <c r="G958" s="1" t="s">
        <v>35</v>
      </c>
      <c r="H958" s="10">
        <f t="shared" si="28"/>
        <v>1220</v>
      </c>
      <c r="I958" s="7">
        <v>807.87643840684336</v>
      </c>
      <c r="J958" s="7">
        <f t="shared" si="29"/>
        <v>412.12356159315664</v>
      </c>
      <c r="K958" s="1">
        <f>IF(B958="North",28.6,
IF(B958="South",13,
IF(B958="East",22.6,
IF(B958="West",19,
23.5))))</f>
        <v>19</v>
      </c>
      <c r="L958" s="1">
        <f>IF(B958="North",77.2,
IF(B958="South",80.2,
IF(B958="East",88.4,
IF(B958="West",72.8,
78.9))))</f>
        <v>72.8</v>
      </c>
    </row>
    <row r="959" spans="1:12" x14ac:dyDescent="0.25">
      <c r="A959" s="5">
        <v>45602</v>
      </c>
      <c r="B959" s="1" t="s">
        <v>36</v>
      </c>
      <c r="C959" s="1" t="s">
        <v>24</v>
      </c>
      <c r="D959" s="1" t="s">
        <v>27</v>
      </c>
      <c r="E959" s="10">
        <v>16</v>
      </c>
      <c r="F959" s="10">
        <v>254</v>
      </c>
      <c r="G959" s="1" t="s">
        <v>35</v>
      </c>
      <c r="H959" s="10">
        <f t="shared" si="28"/>
        <v>4064</v>
      </c>
      <c r="I959" s="7">
        <v>3583.4811952056689</v>
      </c>
      <c r="J959" s="7">
        <f t="shared" si="29"/>
        <v>480.51880479433112</v>
      </c>
      <c r="K959" s="1">
        <f>IF(B959="North",28.6,
IF(B959="South",13,
IF(B959="East",22.6,
IF(B959="West",19,
23.5))))</f>
        <v>23.5</v>
      </c>
      <c r="L959" s="1">
        <f>IF(B959="North",77.2,
IF(B959="South",80.2,
IF(B959="East",88.4,
IF(B959="West",72.8,
78.9))))</f>
        <v>78.900000000000006</v>
      </c>
    </row>
    <row r="960" spans="1:12" x14ac:dyDescent="0.25">
      <c r="A960" s="5">
        <v>45428</v>
      </c>
      <c r="B960" s="1" t="s">
        <v>12</v>
      </c>
      <c r="C960" s="1" t="s">
        <v>20</v>
      </c>
      <c r="D960" s="1" t="s">
        <v>25</v>
      </c>
      <c r="E960" s="10">
        <v>12</v>
      </c>
      <c r="F960" s="10">
        <v>1309</v>
      </c>
      <c r="G960" s="1" t="s">
        <v>33</v>
      </c>
      <c r="H960" s="10">
        <f t="shared" si="28"/>
        <v>15708</v>
      </c>
      <c r="I960" s="7">
        <v>12710.635629862019</v>
      </c>
      <c r="J960" s="7">
        <f t="shared" si="29"/>
        <v>2997.3643701379806</v>
      </c>
      <c r="K960" s="1">
        <f>IF(B960="North",28.6,
IF(B960="South",13,
IF(B960="East",22.6,
IF(B960="West",19,
23.5))))</f>
        <v>22.6</v>
      </c>
      <c r="L960" s="1">
        <f>IF(B960="North",77.2,
IF(B960="South",80.2,
IF(B960="East",88.4,
IF(B960="West",72.8,
78.9))))</f>
        <v>88.4</v>
      </c>
    </row>
    <row r="961" spans="1:12" x14ac:dyDescent="0.25">
      <c r="A961" s="5">
        <v>45538</v>
      </c>
      <c r="B961" s="1" t="s">
        <v>11</v>
      </c>
      <c r="C961" s="1" t="s">
        <v>19</v>
      </c>
      <c r="D961" s="1" t="s">
        <v>29</v>
      </c>
      <c r="E961" s="10">
        <v>5</v>
      </c>
      <c r="F961" s="10">
        <v>348</v>
      </c>
      <c r="G961" s="1" t="s">
        <v>35</v>
      </c>
      <c r="H961" s="10">
        <f t="shared" si="28"/>
        <v>1740</v>
      </c>
      <c r="I961" s="7">
        <v>1070.5346507193681</v>
      </c>
      <c r="J961" s="7">
        <f t="shared" si="29"/>
        <v>669.46534928063193</v>
      </c>
      <c r="K961" s="1">
        <f>IF(B961="North",28.6,
IF(B961="South",13,
IF(B961="East",22.6,
IF(B961="West",19,
23.5))))</f>
        <v>19</v>
      </c>
      <c r="L961" s="1">
        <f>IF(B961="North",77.2,
IF(B961="South",80.2,
IF(B961="East",88.4,
IF(B961="West",72.8,
78.9))))</f>
        <v>72.8</v>
      </c>
    </row>
    <row r="962" spans="1:12" x14ac:dyDescent="0.25">
      <c r="A962" s="5">
        <v>45534</v>
      </c>
      <c r="B962" s="1" t="s">
        <v>13</v>
      </c>
      <c r="C962" s="1" t="s">
        <v>23</v>
      </c>
      <c r="D962" s="1" t="s">
        <v>25</v>
      </c>
      <c r="E962" s="10">
        <v>2</v>
      </c>
      <c r="F962" s="10">
        <v>848</v>
      </c>
      <c r="G962" s="1" t="s">
        <v>34</v>
      </c>
      <c r="H962" s="10">
        <f t="shared" si="28"/>
        <v>1696</v>
      </c>
      <c r="I962" s="7">
        <v>1166.672567759214</v>
      </c>
      <c r="J962" s="7">
        <f t="shared" si="29"/>
        <v>529.32743224078604</v>
      </c>
      <c r="K962" s="1">
        <f>IF(B962="North",28.6,
IF(B962="South",13,
IF(B962="East",22.6,
IF(B962="West",19,
23.5))))</f>
        <v>13</v>
      </c>
      <c r="L962" s="1">
        <f>IF(B962="North",77.2,
IF(B962="South",80.2,
IF(B962="East",88.4,
IF(B962="West",72.8,
78.9))))</f>
        <v>80.2</v>
      </c>
    </row>
    <row r="963" spans="1:12" x14ac:dyDescent="0.25">
      <c r="A963" s="5">
        <v>45322</v>
      </c>
      <c r="B963" s="1" t="s">
        <v>13</v>
      </c>
      <c r="C963" s="1" t="s">
        <v>24</v>
      </c>
      <c r="D963" s="1" t="s">
        <v>31</v>
      </c>
      <c r="E963" s="10">
        <v>10</v>
      </c>
      <c r="F963" s="10">
        <v>904</v>
      </c>
      <c r="G963" s="1" t="s">
        <v>35</v>
      </c>
      <c r="H963" s="10">
        <f t="shared" ref="H963:H1026" si="30">E963*F963</f>
        <v>9040</v>
      </c>
      <c r="I963" s="7">
        <v>5560.1856968652282</v>
      </c>
      <c r="J963" s="7">
        <f t="shared" ref="J963:J1026" si="31">H963-I963</f>
        <v>3479.8143031347718</v>
      </c>
      <c r="K963" s="1">
        <f>IF(B963="North",28.6,
IF(B963="South",13,
IF(B963="East",22.6,
IF(B963="West",19,
23.5))))</f>
        <v>13</v>
      </c>
      <c r="L963" s="1">
        <f>IF(B963="North",77.2,
IF(B963="South",80.2,
IF(B963="East",88.4,
IF(B963="West",72.8,
78.9))))</f>
        <v>80.2</v>
      </c>
    </row>
    <row r="964" spans="1:12" x14ac:dyDescent="0.25">
      <c r="A964" s="5">
        <v>45331</v>
      </c>
      <c r="B964" s="1" t="s">
        <v>11</v>
      </c>
      <c r="C964" s="1" t="s">
        <v>17</v>
      </c>
      <c r="D964" s="1" t="s">
        <v>28</v>
      </c>
      <c r="E964" s="10">
        <v>1</v>
      </c>
      <c r="F964" s="10">
        <v>233</v>
      </c>
      <c r="G964" s="1" t="s">
        <v>33</v>
      </c>
      <c r="H964" s="10">
        <f t="shared" si="30"/>
        <v>233</v>
      </c>
      <c r="I964" s="7">
        <v>197.81816525919751</v>
      </c>
      <c r="J964" s="7">
        <f t="shared" si="31"/>
        <v>35.181834740802486</v>
      </c>
      <c r="K964" s="1">
        <f>IF(B964="North",28.6,
IF(B964="South",13,
IF(B964="East",22.6,
IF(B964="West",19,
23.5))))</f>
        <v>19</v>
      </c>
      <c r="L964" s="1">
        <f>IF(B964="North",77.2,
IF(B964="South",80.2,
IF(B964="East",88.4,
IF(B964="West",72.8,
78.9))))</f>
        <v>72.8</v>
      </c>
    </row>
    <row r="965" spans="1:12" x14ac:dyDescent="0.25">
      <c r="A965" s="5">
        <v>45520</v>
      </c>
      <c r="B965" s="1" t="s">
        <v>11</v>
      </c>
      <c r="C965" s="1" t="s">
        <v>22</v>
      </c>
      <c r="D965" s="1" t="s">
        <v>29</v>
      </c>
      <c r="E965" s="10">
        <v>7</v>
      </c>
      <c r="F965" s="10">
        <v>420</v>
      </c>
      <c r="G965" s="1" t="s">
        <v>35</v>
      </c>
      <c r="H965" s="10">
        <f t="shared" si="30"/>
        <v>2940</v>
      </c>
      <c r="I965" s="7">
        <v>2563.353426482116</v>
      </c>
      <c r="J965" s="7">
        <f t="shared" si="31"/>
        <v>376.64657351788401</v>
      </c>
      <c r="K965" s="1">
        <f>IF(B965="North",28.6,
IF(B965="South",13,
IF(B965="East",22.6,
IF(B965="West",19,
23.5))))</f>
        <v>19</v>
      </c>
      <c r="L965" s="1">
        <f>IF(B965="North",77.2,
IF(B965="South",80.2,
IF(B965="East",88.4,
IF(B965="West",72.8,
78.9))))</f>
        <v>72.8</v>
      </c>
    </row>
    <row r="966" spans="1:12" x14ac:dyDescent="0.25">
      <c r="A966" s="5">
        <v>45327</v>
      </c>
      <c r="B966" s="1" t="s">
        <v>10</v>
      </c>
      <c r="C966" s="1" t="s">
        <v>24</v>
      </c>
      <c r="D966" s="1" t="s">
        <v>27</v>
      </c>
      <c r="E966" s="10">
        <v>17</v>
      </c>
      <c r="F966" s="10">
        <v>489</v>
      </c>
      <c r="G966" s="1" t="s">
        <v>35</v>
      </c>
      <c r="H966" s="10">
        <f t="shared" si="30"/>
        <v>8313</v>
      </c>
      <c r="I966" s="7">
        <v>5267.8141090020672</v>
      </c>
      <c r="J966" s="7">
        <f t="shared" si="31"/>
        <v>3045.1858909979328</v>
      </c>
      <c r="K966" s="1">
        <f>IF(B966="North",28.6,
IF(B966="South",13,
IF(B966="East",22.6,
IF(B966="West",19,
23.5))))</f>
        <v>28.6</v>
      </c>
      <c r="L966" s="1">
        <f>IF(B966="North",77.2,
IF(B966="South",80.2,
IF(B966="East",88.4,
IF(B966="West",72.8,
78.9))))</f>
        <v>77.2</v>
      </c>
    </row>
    <row r="967" spans="1:12" x14ac:dyDescent="0.25">
      <c r="A967" s="5">
        <v>45514</v>
      </c>
      <c r="B967" s="1" t="s">
        <v>11</v>
      </c>
      <c r="C967" s="1" t="s">
        <v>23</v>
      </c>
      <c r="D967" s="1" t="s">
        <v>26</v>
      </c>
      <c r="E967" s="10">
        <v>16</v>
      </c>
      <c r="F967" s="10">
        <v>533</v>
      </c>
      <c r="G967" s="1" t="s">
        <v>34</v>
      </c>
      <c r="H967" s="10">
        <f t="shared" si="30"/>
        <v>8528</v>
      </c>
      <c r="I967" s="7">
        <v>6243.2380537086483</v>
      </c>
      <c r="J967" s="7">
        <f t="shared" si="31"/>
        <v>2284.7619462913517</v>
      </c>
      <c r="K967" s="1">
        <f>IF(B967="North",28.6,
IF(B967="South",13,
IF(B967="East",22.6,
IF(B967="West",19,
23.5))))</f>
        <v>19</v>
      </c>
      <c r="L967" s="1">
        <f>IF(B967="North",77.2,
IF(B967="South",80.2,
IF(B967="East",88.4,
IF(B967="West",72.8,
78.9))))</f>
        <v>72.8</v>
      </c>
    </row>
    <row r="968" spans="1:12" x14ac:dyDescent="0.25">
      <c r="A968" s="5">
        <v>45297</v>
      </c>
      <c r="B968" s="1" t="s">
        <v>10</v>
      </c>
      <c r="C968" s="1" t="s">
        <v>18</v>
      </c>
      <c r="D968" s="1" t="s">
        <v>30</v>
      </c>
      <c r="E968" s="10">
        <v>3</v>
      </c>
      <c r="F968" s="10">
        <v>1145</v>
      </c>
      <c r="G968" s="1" t="s">
        <v>34</v>
      </c>
      <c r="H968" s="10">
        <f t="shared" si="30"/>
        <v>3435</v>
      </c>
      <c r="I968" s="7">
        <v>3021.3057219324369</v>
      </c>
      <c r="J968" s="7">
        <f t="shared" si="31"/>
        <v>413.69427806756312</v>
      </c>
      <c r="K968" s="1">
        <f>IF(B968="North",28.6,
IF(B968="South",13,
IF(B968="East",22.6,
IF(B968="West",19,
23.5))))</f>
        <v>28.6</v>
      </c>
      <c r="L968" s="1">
        <f>IF(B968="North",77.2,
IF(B968="South",80.2,
IF(B968="East",88.4,
IF(B968="West",72.8,
78.9))))</f>
        <v>77.2</v>
      </c>
    </row>
    <row r="969" spans="1:12" x14ac:dyDescent="0.25">
      <c r="A969" s="5">
        <v>45613</v>
      </c>
      <c r="B969" s="1" t="s">
        <v>12</v>
      </c>
      <c r="C969" s="1" t="s">
        <v>24</v>
      </c>
      <c r="D969" s="1" t="s">
        <v>25</v>
      </c>
      <c r="E969" s="10">
        <v>14</v>
      </c>
      <c r="F969" s="10">
        <v>972</v>
      </c>
      <c r="G969" s="1" t="s">
        <v>35</v>
      </c>
      <c r="H969" s="10">
        <f t="shared" si="30"/>
        <v>13608</v>
      </c>
      <c r="I969" s="7">
        <v>8757.6121898439706</v>
      </c>
      <c r="J969" s="7">
        <f t="shared" si="31"/>
        <v>4850.3878101560294</v>
      </c>
      <c r="K969" s="1">
        <f>IF(B969="North",28.6,
IF(B969="South",13,
IF(B969="East",22.6,
IF(B969="West",19,
23.5))))</f>
        <v>22.6</v>
      </c>
      <c r="L969" s="1">
        <f>IF(B969="North",77.2,
IF(B969="South",80.2,
IF(B969="East",88.4,
IF(B969="West",72.8,
78.9))))</f>
        <v>88.4</v>
      </c>
    </row>
    <row r="970" spans="1:12" x14ac:dyDescent="0.25">
      <c r="A970" s="5">
        <v>45511</v>
      </c>
      <c r="B970" s="1" t="s">
        <v>10</v>
      </c>
      <c r="C970" s="1" t="s">
        <v>18</v>
      </c>
      <c r="D970" s="1" t="s">
        <v>28</v>
      </c>
      <c r="E970" s="10">
        <v>10</v>
      </c>
      <c r="F970" s="10">
        <v>1723</v>
      </c>
      <c r="G970" s="1" t="s">
        <v>34</v>
      </c>
      <c r="H970" s="10">
        <f t="shared" si="30"/>
        <v>17230</v>
      </c>
      <c r="I970" s="7">
        <v>11846.849660102491</v>
      </c>
      <c r="J970" s="7">
        <f t="shared" si="31"/>
        <v>5383.1503398975092</v>
      </c>
      <c r="K970" s="1">
        <f>IF(B970="North",28.6,
IF(B970="South",13,
IF(B970="East",22.6,
IF(B970="West",19,
23.5))))</f>
        <v>28.6</v>
      </c>
      <c r="L970" s="1">
        <f>IF(B970="North",77.2,
IF(B970="South",80.2,
IF(B970="East",88.4,
IF(B970="West",72.8,
78.9))))</f>
        <v>77.2</v>
      </c>
    </row>
    <row r="971" spans="1:12" x14ac:dyDescent="0.25">
      <c r="A971" s="5">
        <v>45366</v>
      </c>
      <c r="B971" s="1" t="s">
        <v>11</v>
      </c>
      <c r="C971" s="1" t="s">
        <v>23</v>
      </c>
      <c r="D971" s="1" t="s">
        <v>32</v>
      </c>
      <c r="E971" s="10">
        <v>7</v>
      </c>
      <c r="F971" s="10">
        <v>1788</v>
      </c>
      <c r="G971" s="1" t="s">
        <v>34</v>
      </c>
      <c r="H971" s="10">
        <f t="shared" si="30"/>
        <v>12516</v>
      </c>
      <c r="I971" s="7">
        <v>8652.0904564682878</v>
      </c>
      <c r="J971" s="7">
        <f t="shared" si="31"/>
        <v>3863.9095435317122</v>
      </c>
      <c r="K971" s="1">
        <f>IF(B971="North",28.6,
IF(B971="South",13,
IF(B971="East",22.6,
IF(B971="West",19,
23.5))))</f>
        <v>19</v>
      </c>
      <c r="L971" s="1">
        <f>IF(B971="North",77.2,
IF(B971="South",80.2,
IF(B971="East",88.4,
IF(B971="West",72.8,
78.9))))</f>
        <v>72.8</v>
      </c>
    </row>
    <row r="972" spans="1:12" x14ac:dyDescent="0.25">
      <c r="A972" s="5">
        <v>45295</v>
      </c>
      <c r="B972" s="1" t="s">
        <v>11</v>
      </c>
      <c r="C972" s="1" t="s">
        <v>17</v>
      </c>
      <c r="D972" s="1" t="s">
        <v>27</v>
      </c>
      <c r="E972" s="10">
        <v>17</v>
      </c>
      <c r="F972" s="10">
        <v>1248</v>
      </c>
      <c r="G972" s="1" t="s">
        <v>33</v>
      </c>
      <c r="H972" s="10">
        <f t="shared" si="30"/>
        <v>21216</v>
      </c>
      <c r="I972" s="7">
        <v>12920.915145503281</v>
      </c>
      <c r="J972" s="7">
        <f t="shared" si="31"/>
        <v>8295.0848544967193</v>
      </c>
      <c r="K972" s="1">
        <f>IF(B972="North",28.6,
IF(B972="South",13,
IF(B972="East",22.6,
IF(B972="West",19,
23.5))))</f>
        <v>19</v>
      </c>
      <c r="L972" s="1">
        <f>IF(B972="North",77.2,
IF(B972="South",80.2,
IF(B972="East",88.4,
IF(B972="West",72.8,
78.9))))</f>
        <v>72.8</v>
      </c>
    </row>
    <row r="973" spans="1:12" x14ac:dyDescent="0.25">
      <c r="A973" s="5">
        <v>45626</v>
      </c>
      <c r="B973" s="1" t="s">
        <v>12</v>
      </c>
      <c r="C973" s="1" t="s">
        <v>20</v>
      </c>
      <c r="D973" s="1" t="s">
        <v>32</v>
      </c>
      <c r="E973" s="10">
        <v>6</v>
      </c>
      <c r="F973" s="10">
        <v>1202</v>
      </c>
      <c r="G973" s="1" t="s">
        <v>33</v>
      </c>
      <c r="H973" s="10">
        <f t="shared" si="30"/>
        <v>7212</v>
      </c>
      <c r="I973" s="7">
        <v>4405.6807705752644</v>
      </c>
      <c r="J973" s="7">
        <f t="shared" si="31"/>
        <v>2806.3192294247356</v>
      </c>
      <c r="K973" s="1">
        <f>IF(B973="North",28.6,
IF(B973="South",13,
IF(B973="East",22.6,
IF(B973="West",19,
23.5))))</f>
        <v>22.6</v>
      </c>
      <c r="L973" s="1">
        <f>IF(B973="North",77.2,
IF(B973="South",80.2,
IF(B973="East",88.4,
IF(B973="West",72.8,
78.9))))</f>
        <v>88.4</v>
      </c>
    </row>
    <row r="974" spans="1:12" x14ac:dyDescent="0.25">
      <c r="A974" s="5">
        <v>45425</v>
      </c>
      <c r="B974" s="1" t="s">
        <v>11</v>
      </c>
      <c r="C974" s="1" t="s">
        <v>19</v>
      </c>
      <c r="D974" s="1" t="s">
        <v>27</v>
      </c>
      <c r="E974" s="10">
        <v>4</v>
      </c>
      <c r="F974" s="10">
        <v>957</v>
      </c>
      <c r="G974" s="1" t="s">
        <v>35</v>
      </c>
      <c r="H974" s="10">
        <f t="shared" si="30"/>
        <v>3828</v>
      </c>
      <c r="I974" s="7">
        <v>3390.9872826220171</v>
      </c>
      <c r="J974" s="7">
        <f t="shared" si="31"/>
        <v>437.01271737798288</v>
      </c>
      <c r="K974" s="1">
        <f>IF(B974="North",28.6,
IF(B974="South",13,
IF(B974="East",22.6,
IF(B974="West",19,
23.5))))</f>
        <v>19</v>
      </c>
      <c r="L974" s="1">
        <f>IF(B974="North",77.2,
IF(B974="South",80.2,
IF(B974="East",88.4,
IF(B974="West",72.8,
78.9))))</f>
        <v>72.8</v>
      </c>
    </row>
    <row r="975" spans="1:12" x14ac:dyDescent="0.25">
      <c r="A975" s="5">
        <v>45409</v>
      </c>
      <c r="B975" s="1" t="s">
        <v>11</v>
      </c>
      <c r="C975" s="1" t="s">
        <v>17</v>
      </c>
      <c r="D975" s="1" t="s">
        <v>27</v>
      </c>
      <c r="E975" s="10">
        <v>17</v>
      </c>
      <c r="F975" s="10">
        <v>150</v>
      </c>
      <c r="G975" s="1" t="s">
        <v>33</v>
      </c>
      <c r="H975" s="10">
        <f t="shared" si="30"/>
        <v>2550</v>
      </c>
      <c r="I975" s="7">
        <v>1966.8858458744839</v>
      </c>
      <c r="J975" s="7">
        <f t="shared" si="31"/>
        <v>583.11415412551605</v>
      </c>
      <c r="K975" s="1">
        <f>IF(B975="North",28.6,
IF(B975="South",13,
IF(B975="East",22.6,
IF(B975="West",19,
23.5))))</f>
        <v>19</v>
      </c>
      <c r="L975" s="1">
        <f>IF(B975="North",77.2,
IF(B975="South",80.2,
IF(B975="East",88.4,
IF(B975="West",72.8,
78.9))))</f>
        <v>72.8</v>
      </c>
    </row>
    <row r="976" spans="1:12" x14ac:dyDescent="0.25">
      <c r="A976" s="5">
        <v>45385</v>
      </c>
      <c r="B976" s="1" t="s">
        <v>13</v>
      </c>
      <c r="C976" s="1" t="s">
        <v>18</v>
      </c>
      <c r="D976" s="1" t="s">
        <v>26</v>
      </c>
      <c r="E976" s="10">
        <v>9</v>
      </c>
      <c r="F976" s="10">
        <v>1851</v>
      </c>
      <c r="G976" s="1" t="s">
        <v>34</v>
      </c>
      <c r="H976" s="10">
        <f t="shared" si="30"/>
        <v>16659</v>
      </c>
      <c r="I976" s="7">
        <v>11527.936316003799</v>
      </c>
      <c r="J976" s="7">
        <f t="shared" si="31"/>
        <v>5131.0636839962008</v>
      </c>
      <c r="K976" s="1">
        <f>IF(B976="North",28.6,
IF(B976="South",13,
IF(B976="East",22.6,
IF(B976="West",19,
23.5))))</f>
        <v>13</v>
      </c>
      <c r="L976" s="1">
        <f>IF(B976="North",77.2,
IF(B976="South",80.2,
IF(B976="East",88.4,
IF(B976="West",72.8,
78.9))))</f>
        <v>80.2</v>
      </c>
    </row>
    <row r="977" spans="1:12" x14ac:dyDescent="0.25">
      <c r="A977" s="5">
        <v>45353</v>
      </c>
      <c r="B977" s="1" t="s">
        <v>13</v>
      </c>
      <c r="C977" s="1" t="s">
        <v>18</v>
      </c>
      <c r="D977" s="1" t="s">
        <v>26</v>
      </c>
      <c r="E977" s="10">
        <v>4</v>
      </c>
      <c r="F977" s="10">
        <v>275</v>
      </c>
      <c r="G977" s="1" t="s">
        <v>34</v>
      </c>
      <c r="H977" s="10">
        <f t="shared" si="30"/>
        <v>1100</v>
      </c>
      <c r="I977" s="7">
        <v>784.96263803317288</v>
      </c>
      <c r="J977" s="7">
        <f t="shared" si="31"/>
        <v>315.03736196682712</v>
      </c>
      <c r="K977" s="1">
        <f>IF(B977="North",28.6,
IF(B977="South",13,
IF(B977="East",22.6,
IF(B977="West",19,
23.5))))</f>
        <v>13</v>
      </c>
      <c r="L977" s="1">
        <f>IF(B977="North",77.2,
IF(B977="South",80.2,
IF(B977="East",88.4,
IF(B977="West",72.8,
78.9))))</f>
        <v>80.2</v>
      </c>
    </row>
    <row r="978" spans="1:12" x14ac:dyDescent="0.25">
      <c r="A978" s="5">
        <v>45485</v>
      </c>
      <c r="B978" s="1" t="s">
        <v>12</v>
      </c>
      <c r="C978" s="1" t="s">
        <v>19</v>
      </c>
      <c r="D978" s="1" t="s">
        <v>26</v>
      </c>
      <c r="E978" s="10">
        <v>7</v>
      </c>
      <c r="F978" s="10">
        <v>969</v>
      </c>
      <c r="G978" s="1" t="s">
        <v>35</v>
      </c>
      <c r="H978" s="10">
        <f t="shared" si="30"/>
        <v>6783</v>
      </c>
      <c r="I978" s="7">
        <v>5524.4338759067396</v>
      </c>
      <c r="J978" s="7">
        <f t="shared" si="31"/>
        <v>1258.5661240932604</v>
      </c>
      <c r="K978" s="1">
        <f>IF(B978="North",28.6,
IF(B978="South",13,
IF(B978="East",22.6,
IF(B978="West",19,
23.5))))</f>
        <v>22.6</v>
      </c>
      <c r="L978" s="1">
        <f>IF(B978="North",77.2,
IF(B978="South",80.2,
IF(B978="East",88.4,
IF(B978="West",72.8,
78.9))))</f>
        <v>88.4</v>
      </c>
    </row>
    <row r="979" spans="1:12" x14ac:dyDescent="0.25">
      <c r="A979" s="5">
        <v>45626</v>
      </c>
      <c r="B979" s="1" t="s">
        <v>10</v>
      </c>
      <c r="C979" s="1" t="s">
        <v>20</v>
      </c>
      <c r="D979" s="1" t="s">
        <v>29</v>
      </c>
      <c r="E979" s="10">
        <v>2</v>
      </c>
      <c r="F979" s="10">
        <v>1073.5</v>
      </c>
      <c r="G979" s="1" t="s">
        <v>33</v>
      </c>
      <c r="H979" s="10">
        <f t="shared" si="30"/>
        <v>2147</v>
      </c>
      <c r="I979" s="7">
        <f>H979*0.7</f>
        <v>1502.8999999999999</v>
      </c>
      <c r="J979" s="7">
        <f t="shared" si="31"/>
        <v>644.10000000000014</v>
      </c>
      <c r="K979" s="1">
        <f>IF(B979="North",28.6,
IF(B979="South",13,
IF(B979="East",22.6,
IF(B979="West",19,
23.5))))</f>
        <v>28.6</v>
      </c>
      <c r="L979" s="1">
        <f>IF(B979="North",77.2,
IF(B979="South",80.2,
IF(B979="East",88.4,
IF(B979="West",72.8,
78.9))))</f>
        <v>77.2</v>
      </c>
    </row>
    <row r="980" spans="1:12" x14ac:dyDescent="0.25">
      <c r="A980" s="5">
        <v>45494</v>
      </c>
      <c r="B980" s="1" t="s">
        <v>13</v>
      </c>
      <c r="C980" s="1" t="s">
        <v>24</v>
      </c>
      <c r="D980" s="1" t="s">
        <v>31</v>
      </c>
      <c r="E980" s="10">
        <v>17</v>
      </c>
      <c r="F980" s="10">
        <v>1065</v>
      </c>
      <c r="G980" s="1" t="s">
        <v>35</v>
      </c>
      <c r="H980" s="10">
        <f t="shared" si="30"/>
        <v>18105</v>
      </c>
      <c r="I980" s="7">
        <v>12100.080629401191</v>
      </c>
      <c r="J980" s="7">
        <f t="shared" si="31"/>
        <v>6004.9193705988091</v>
      </c>
      <c r="K980" s="1">
        <f>IF(B980="North",28.6,
IF(B980="South",13,
IF(B980="East",22.6,
IF(B980="West",19,
23.5))))</f>
        <v>13</v>
      </c>
      <c r="L980" s="1">
        <f>IF(B980="North",77.2,
IF(B980="South",80.2,
IF(B980="East",88.4,
IF(B980="West",72.8,
78.9))))</f>
        <v>80.2</v>
      </c>
    </row>
    <row r="981" spans="1:12" x14ac:dyDescent="0.25">
      <c r="A981" s="5">
        <v>45317</v>
      </c>
      <c r="B981" s="1" t="s">
        <v>10</v>
      </c>
      <c r="C981" s="1" t="s">
        <v>40</v>
      </c>
      <c r="D981" s="1" t="s">
        <v>27</v>
      </c>
      <c r="E981" s="10">
        <v>8</v>
      </c>
      <c r="F981" s="10">
        <v>1369</v>
      </c>
      <c r="G981" s="1" t="s">
        <v>35</v>
      </c>
      <c r="H981" s="10">
        <f t="shared" si="30"/>
        <v>10952</v>
      </c>
      <c r="I981" s="7">
        <v>6905.7967695603002</v>
      </c>
      <c r="J981" s="7">
        <f t="shared" si="31"/>
        <v>4046.2032304396998</v>
      </c>
      <c r="K981" s="1">
        <f>IF(B981="North",28.6,
IF(B981="South",13,
IF(B981="East",22.6,
IF(B981="West",19,
23.5))))</f>
        <v>28.6</v>
      </c>
      <c r="L981" s="1">
        <f>IF(B981="North",77.2,
IF(B981="South",80.2,
IF(B981="East",88.4,
IF(B981="West",72.8,
78.9))))</f>
        <v>77.2</v>
      </c>
    </row>
    <row r="982" spans="1:12" x14ac:dyDescent="0.25">
      <c r="A982" s="5">
        <v>45464</v>
      </c>
      <c r="B982" s="1" t="s">
        <v>11</v>
      </c>
      <c r="C982" s="1" t="s">
        <v>22</v>
      </c>
      <c r="D982" s="1" t="s">
        <v>28</v>
      </c>
      <c r="E982" s="10">
        <v>15</v>
      </c>
      <c r="F982" s="10">
        <v>1073.5</v>
      </c>
      <c r="G982" s="1" t="s">
        <v>35</v>
      </c>
      <c r="H982" s="10">
        <f t="shared" si="30"/>
        <v>16102.5</v>
      </c>
      <c r="I982" s="7">
        <f>H982*0.7</f>
        <v>11271.75</v>
      </c>
      <c r="J982" s="7">
        <f t="shared" si="31"/>
        <v>4830.75</v>
      </c>
      <c r="K982" s="1">
        <f>IF(B982="North",28.6,
IF(B982="South",13,
IF(B982="East",22.6,
IF(B982="West",19,
23.5))))</f>
        <v>19</v>
      </c>
      <c r="L982" s="1">
        <f>IF(B982="North",77.2,
IF(B982="South",80.2,
IF(B982="East",88.4,
IF(B982="West",72.8,
78.9))))</f>
        <v>72.8</v>
      </c>
    </row>
    <row r="983" spans="1:12" x14ac:dyDescent="0.25">
      <c r="A983" s="5">
        <v>45591</v>
      </c>
      <c r="B983" s="1" t="s">
        <v>13</v>
      </c>
      <c r="C983" s="1" t="s">
        <v>22</v>
      </c>
      <c r="D983" s="1" t="s">
        <v>32</v>
      </c>
      <c r="E983" s="10">
        <v>15</v>
      </c>
      <c r="F983" s="10">
        <v>1229</v>
      </c>
      <c r="G983" s="1" t="s">
        <v>35</v>
      </c>
      <c r="H983" s="10">
        <f t="shared" si="30"/>
        <v>18435</v>
      </c>
      <c r="I983" s="7">
        <v>12059.61482472233</v>
      </c>
      <c r="J983" s="7">
        <f t="shared" si="31"/>
        <v>6375.38517527767</v>
      </c>
      <c r="K983" s="1">
        <f>IF(B983="North",28.6,
IF(B983="South",13,
IF(B983="East",22.6,
IF(B983="West",19,
23.5))))</f>
        <v>13</v>
      </c>
      <c r="L983" s="1">
        <f>IF(B983="North",77.2,
IF(B983="South",80.2,
IF(B983="East",88.4,
IF(B983="West",72.8,
78.9))))</f>
        <v>80.2</v>
      </c>
    </row>
    <row r="984" spans="1:12" x14ac:dyDescent="0.25">
      <c r="A984" s="5">
        <v>45424</v>
      </c>
      <c r="B984" s="1" t="s">
        <v>12</v>
      </c>
      <c r="C984" s="1" t="s">
        <v>23</v>
      </c>
      <c r="D984" s="1" t="s">
        <v>26</v>
      </c>
      <c r="E984" s="10">
        <v>8</v>
      </c>
      <c r="F984" s="10">
        <v>0</v>
      </c>
      <c r="G984" s="1" t="s">
        <v>34</v>
      </c>
      <c r="H984" s="10">
        <f t="shared" si="30"/>
        <v>0</v>
      </c>
      <c r="I984" s="7">
        <v>0</v>
      </c>
      <c r="J984" s="7">
        <f t="shared" si="31"/>
        <v>0</v>
      </c>
      <c r="K984" s="1">
        <f>IF(B984="North",28.6,
IF(B984="South",13,
IF(B984="East",22.6,
IF(B984="West",19,
23.5))))</f>
        <v>22.6</v>
      </c>
      <c r="L984" s="1">
        <f>IF(B984="North",77.2,
IF(B984="South",80.2,
IF(B984="East",88.4,
IF(B984="West",72.8,
78.9))))</f>
        <v>88.4</v>
      </c>
    </row>
    <row r="985" spans="1:12" x14ac:dyDescent="0.25">
      <c r="A985" s="5">
        <v>45617</v>
      </c>
      <c r="B985" s="1" t="s">
        <v>12</v>
      </c>
      <c r="C985" s="1" t="s">
        <v>17</v>
      </c>
      <c r="D985" s="1" t="s">
        <v>29</v>
      </c>
      <c r="E985" s="10">
        <v>16</v>
      </c>
      <c r="F985" s="10">
        <v>1439</v>
      </c>
      <c r="G985" s="1" t="s">
        <v>33</v>
      </c>
      <c r="H985" s="10">
        <f t="shared" si="30"/>
        <v>23024</v>
      </c>
      <c r="I985" s="7">
        <v>16763.459745933269</v>
      </c>
      <c r="J985" s="7">
        <f t="shared" si="31"/>
        <v>6260.540254066731</v>
      </c>
      <c r="K985" s="1">
        <f>IF(B985="North",28.6,
IF(B985="South",13,
IF(B985="East",22.6,
IF(B985="West",19,
23.5))))</f>
        <v>22.6</v>
      </c>
      <c r="L985" s="1">
        <f>IF(B985="North",77.2,
IF(B985="South",80.2,
IF(B985="East",88.4,
IF(B985="West",72.8,
78.9))))</f>
        <v>88.4</v>
      </c>
    </row>
    <row r="986" spans="1:12" x14ac:dyDescent="0.25">
      <c r="A986" s="5">
        <v>45409</v>
      </c>
      <c r="B986" s="1" t="s">
        <v>12</v>
      </c>
      <c r="C986" s="1" t="s">
        <v>18</v>
      </c>
      <c r="D986" s="1" t="s">
        <v>26</v>
      </c>
      <c r="E986" s="10">
        <v>19</v>
      </c>
      <c r="F986" s="10">
        <v>401</v>
      </c>
      <c r="G986" s="1" t="s">
        <v>34</v>
      </c>
      <c r="H986" s="10">
        <f t="shared" si="30"/>
        <v>7619</v>
      </c>
      <c r="I986" s="7">
        <v>4661.8473474122111</v>
      </c>
      <c r="J986" s="7">
        <f t="shared" si="31"/>
        <v>2957.1526525877889</v>
      </c>
      <c r="K986" s="1">
        <f>IF(B986="North",28.6,
IF(B986="South",13,
IF(B986="East",22.6,
IF(B986="West",19,
23.5))))</f>
        <v>22.6</v>
      </c>
      <c r="L986" s="1">
        <f>IF(B986="North",77.2,
IF(B986="South",80.2,
IF(B986="East",88.4,
IF(B986="West",72.8,
78.9))))</f>
        <v>88.4</v>
      </c>
    </row>
    <row r="987" spans="1:12" x14ac:dyDescent="0.25">
      <c r="A987" s="5">
        <v>45615</v>
      </c>
      <c r="B987" s="1" t="s">
        <v>13</v>
      </c>
      <c r="C987" s="1" t="s">
        <v>20</v>
      </c>
      <c r="D987" s="1" t="s">
        <v>32</v>
      </c>
      <c r="E987" s="10">
        <v>11</v>
      </c>
      <c r="F987" s="10">
        <v>647</v>
      </c>
      <c r="G987" s="1" t="s">
        <v>33</v>
      </c>
      <c r="H987" s="10">
        <f t="shared" si="30"/>
        <v>7117</v>
      </c>
      <c r="I987" s="7">
        <v>6330.5673543678977</v>
      </c>
      <c r="J987" s="7">
        <f t="shared" si="31"/>
        <v>786.43264563210232</v>
      </c>
      <c r="K987" s="1">
        <f>IF(B987="North",28.6,
IF(B987="South",13,
IF(B987="East",22.6,
IF(B987="West",19,
23.5))))</f>
        <v>13</v>
      </c>
      <c r="L987" s="1">
        <f>IF(B987="North",77.2,
IF(B987="South",80.2,
IF(B987="East",88.4,
IF(B987="West",72.8,
78.9))))</f>
        <v>80.2</v>
      </c>
    </row>
    <row r="988" spans="1:12" x14ac:dyDescent="0.25">
      <c r="A988" s="5">
        <v>45566</v>
      </c>
      <c r="B988" s="1" t="s">
        <v>10</v>
      </c>
      <c r="C988" s="1" t="s">
        <v>23</v>
      </c>
      <c r="D988" s="1" t="s">
        <v>32</v>
      </c>
      <c r="E988" s="10">
        <v>2</v>
      </c>
      <c r="F988" s="10">
        <v>815</v>
      </c>
      <c r="G988" s="1" t="s">
        <v>34</v>
      </c>
      <c r="H988" s="10">
        <f t="shared" si="30"/>
        <v>1630</v>
      </c>
      <c r="I988" s="7">
        <v>1284.7462611440969</v>
      </c>
      <c r="J988" s="7">
        <f t="shared" si="31"/>
        <v>345.25373885590307</v>
      </c>
      <c r="K988" s="1">
        <f>IF(B988="North",28.6,
IF(B988="South",13,
IF(B988="East",22.6,
IF(B988="West",19,
23.5))))</f>
        <v>28.6</v>
      </c>
      <c r="L988" s="1">
        <f>IF(B988="North",77.2,
IF(B988="South",80.2,
IF(B988="East",88.4,
IF(B988="West",72.8,
78.9))))</f>
        <v>77.2</v>
      </c>
    </row>
    <row r="989" spans="1:12" x14ac:dyDescent="0.25">
      <c r="A989" s="5">
        <v>45503</v>
      </c>
      <c r="B989" s="1" t="s">
        <v>11</v>
      </c>
      <c r="C989" s="1" t="s">
        <v>17</v>
      </c>
      <c r="D989" s="1" t="s">
        <v>25</v>
      </c>
      <c r="E989" s="10">
        <v>17</v>
      </c>
      <c r="F989" s="10">
        <v>878</v>
      </c>
      <c r="G989" s="1" t="s">
        <v>33</v>
      </c>
      <c r="H989" s="10">
        <f t="shared" si="30"/>
        <v>14926</v>
      </c>
      <c r="I989" s="7">
        <v>9639.3457778176107</v>
      </c>
      <c r="J989" s="7">
        <f t="shared" si="31"/>
        <v>5286.6542221823893</v>
      </c>
      <c r="K989" s="1">
        <f>IF(B989="North",28.6,
IF(B989="South",13,
IF(B989="East",22.6,
IF(B989="West",19,
23.5))))</f>
        <v>19</v>
      </c>
      <c r="L989" s="1">
        <f>IF(B989="North",77.2,
IF(B989="South",80.2,
IF(B989="East",88.4,
IF(B989="West",72.8,
78.9))))</f>
        <v>72.8</v>
      </c>
    </row>
    <row r="990" spans="1:12" x14ac:dyDescent="0.25">
      <c r="A990" s="5">
        <v>45516</v>
      </c>
      <c r="B990" s="1" t="s">
        <v>10</v>
      </c>
      <c r="C990" s="1" t="s">
        <v>17</v>
      </c>
      <c r="D990" s="1" t="s">
        <v>27</v>
      </c>
      <c r="E990" s="10">
        <v>16</v>
      </c>
      <c r="F990" s="10">
        <v>367</v>
      </c>
      <c r="G990" s="1" t="s">
        <v>33</v>
      </c>
      <c r="H990" s="10">
        <f t="shared" si="30"/>
        <v>5872</v>
      </c>
      <c r="I990" s="7">
        <v>3826.9951186876092</v>
      </c>
      <c r="J990" s="7">
        <f t="shared" si="31"/>
        <v>2045.0048813123908</v>
      </c>
      <c r="K990" s="1">
        <f>IF(B990="North",28.6,
IF(B990="South",13,
IF(B990="East",22.6,
IF(B990="West",19,
23.5))))</f>
        <v>28.6</v>
      </c>
      <c r="L990" s="1">
        <f>IF(B990="North",77.2,
IF(B990="South",80.2,
IF(B990="East",88.4,
IF(B990="West",72.8,
78.9))))</f>
        <v>77.2</v>
      </c>
    </row>
    <row r="991" spans="1:12" x14ac:dyDescent="0.25">
      <c r="A991" s="5">
        <v>45311</v>
      </c>
      <c r="B991" s="1" t="s">
        <v>10</v>
      </c>
      <c r="C991" s="1" t="s">
        <v>23</v>
      </c>
      <c r="D991" s="1" t="s">
        <v>26</v>
      </c>
      <c r="E991" s="10">
        <v>15</v>
      </c>
      <c r="F991" s="10">
        <v>1293</v>
      </c>
      <c r="G991" s="1" t="s">
        <v>34</v>
      </c>
      <c r="H991" s="10">
        <f t="shared" si="30"/>
        <v>19395</v>
      </c>
      <c r="I991" s="7">
        <v>14952.54701246755</v>
      </c>
      <c r="J991" s="7">
        <f t="shared" si="31"/>
        <v>4442.4529875324497</v>
      </c>
      <c r="K991" s="1">
        <f>IF(B991="North",28.6,
IF(B991="South",13,
IF(B991="East",22.6,
IF(B991="West",19,
23.5))))</f>
        <v>28.6</v>
      </c>
      <c r="L991" s="1">
        <f>IF(B991="North",77.2,
IF(B991="South",80.2,
IF(B991="East",88.4,
IF(B991="West",72.8,
78.9))))</f>
        <v>77.2</v>
      </c>
    </row>
    <row r="992" spans="1:12" x14ac:dyDescent="0.25">
      <c r="A992" s="5">
        <v>45404</v>
      </c>
      <c r="B992" s="1" t="s">
        <v>11</v>
      </c>
      <c r="C992" s="1" t="s">
        <v>21</v>
      </c>
      <c r="D992" s="1" t="s">
        <v>32</v>
      </c>
      <c r="E992" s="10">
        <v>13</v>
      </c>
      <c r="F992" s="10">
        <v>1109</v>
      </c>
      <c r="G992" s="1" t="s">
        <v>35</v>
      </c>
      <c r="H992" s="10">
        <f t="shared" si="30"/>
        <v>14417</v>
      </c>
      <c r="I992" s="7">
        <v>10192.38255706169</v>
      </c>
      <c r="J992" s="7">
        <f t="shared" si="31"/>
        <v>4224.61744293831</v>
      </c>
      <c r="K992" s="1">
        <f>IF(B992="North",28.6,
IF(B992="South",13,
IF(B992="East",22.6,
IF(B992="West",19,
23.5))))</f>
        <v>19</v>
      </c>
      <c r="L992" s="1">
        <f>IF(B992="North",77.2,
IF(B992="South",80.2,
IF(B992="East",88.4,
IF(B992="West",72.8,
78.9))))</f>
        <v>72.8</v>
      </c>
    </row>
    <row r="993" spans="1:12" x14ac:dyDescent="0.25">
      <c r="A993" s="5">
        <v>45431</v>
      </c>
      <c r="B993" s="1" t="s">
        <v>11</v>
      </c>
      <c r="C993" s="1" t="s">
        <v>17</v>
      </c>
      <c r="D993" s="1" t="s">
        <v>31</v>
      </c>
      <c r="E993" s="10">
        <v>15</v>
      </c>
      <c r="F993" s="10">
        <v>650</v>
      </c>
      <c r="G993" s="1" t="s">
        <v>33</v>
      </c>
      <c r="H993" s="10">
        <f t="shared" si="30"/>
        <v>9750</v>
      </c>
      <c r="I993" s="7">
        <v>8114.7302267490622</v>
      </c>
      <c r="J993" s="7">
        <f t="shared" si="31"/>
        <v>1635.2697732509378</v>
      </c>
      <c r="K993" s="1">
        <f>IF(B993="North",28.6,
IF(B993="South",13,
IF(B993="East",22.6,
IF(B993="West",19,
23.5))))</f>
        <v>19</v>
      </c>
      <c r="L993" s="1">
        <f>IF(B993="North",77.2,
IF(B993="South",80.2,
IF(B993="East",88.4,
IF(B993="West",72.8,
78.9))))</f>
        <v>72.8</v>
      </c>
    </row>
    <row r="994" spans="1:12" x14ac:dyDescent="0.25">
      <c r="A994" s="5">
        <v>45338</v>
      </c>
      <c r="B994" s="1" t="s">
        <v>13</v>
      </c>
      <c r="C994" s="1" t="s">
        <v>21</v>
      </c>
      <c r="D994" s="1" t="s">
        <v>31</v>
      </c>
      <c r="E994" s="10">
        <v>4</v>
      </c>
      <c r="F994" s="10">
        <v>1578</v>
      </c>
      <c r="G994" s="1" t="s">
        <v>35</v>
      </c>
      <c r="H994" s="10">
        <f t="shared" si="30"/>
        <v>6312</v>
      </c>
      <c r="I994" s="7">
        <v>4820.7391611679795</v>
      </c>
      <c r="J994" s="7">
        <f t="shared" si="31"/>
        <v>1491.2608388320205</v>
      </c>
      <c r="K994" s="1">
        <f>IF(B994="North",28.6,
IF(B994="South",13,
IF(B994="East",22.6,
IF(B994="West",19,
23.5))))</f>
        <v>13</v>
      </c>
      <c r="L994" s="1">
        <f>IF(B994="North",77.2,
IF(B994="South",80.2,
IF(B994="East",88.4,
IF(B994="West",72.8,
78.9))))</f>
        <v>80.2</v>
      </c>
    </row>
    <row r="995" spans="1:12" x14ac:dyDescent="0.25">
      <c r="A995" s="5">
        <v>45292</v>
      </c>
      <c r="B995" s="1" t="s">
        <v>13</v>
      </c>
      <c r="C995" s="1" t="s">
        <v>22</v>
      </c>
      <c r="D995" s="1" t="s">
        <v>26</v>
      </c>
      <c r="E995" s="10">
        <v>16</v>
      </c>
      <c r="F995" s="10">
        <v>1774</v>
      </c>
      <c r="G995" s="1" t="s">
        <v>35</v>
      </c>
      <c r="H995" s="10">
        <f t="shared" si="30"/>
        <v>28384</v>
      </c>
      <c r="I995" s="7">
        <v>20720.324616869981</v>
      </c>
      <c r="J995" s="7">
        <f t="shared" si="31"/>
        <v>7663.6753831300193</v>
      </c>
      <c r="K995" s="1">
        <f>IF(B995="North",28.6,
IF(B995="South",13,
IF(B995="East",22.6,
IF(B995="West",19,
23.5))))</f>
        <v>13</v>
      </c>
      <c r="L995" s="1">
        <f>IF(B995="North",77.2,
IF(B995="South",80.2,
IF(B995="East",88.4,
IF(B995="West",72.8,
78.9))))</f>
        <v>80.2</v>
      </c>
    </row>
    <row r="996" spans="1:12" x14ac:dyDescent="0.25">
      <c r="A996" s="5">
        <v>45381</v>
      </c>
      <c r="B996" s="1" t="s">
        <v>13</v>
      </c>
      <c r="C996" s="1" t="s">
        <v>22</v>
      </c>
      <c r="D996" s="1" t="s">
        <v>29</v>
      </c>
      <c r="E996" s="10">
        <v>12</v>
      </c>
      <c r="F996" s="10">
        <v>1415</v>
      </c>
      <c r="G996" s="1" t="s">
        <v>35</v>
      </c>
      <c r="H996" s="10">
        <f t="shared" si="30"/>
        <v>16980</v>
      </c>
      <c r="I996" s="7">
        <v>15093.421383644491</v>
      </c>
      <c r="J996" s="7">
        <f t="shared" si="31"/>
        <v>1886.5786163555094</v>
      </c>
      <c r="K996" s="1">
        <f>IF(B996="North",28.6,
IF(B996="South",13,
IF(B996="East",22.6,
IF(B996="West",19,
23.5))))</f>
        <v>13</v>
      </c>
      <c r="L996" s="1">
        <f>IF(B996="North",77.2,
IF(B996="South",80.2,
IF(B996="East",88.4,
IF(B996="West",72.8,
78.9))))</f>
        <v>80.2</v>
      </c>
    </row>
    <row r="997" spans="1:12" x14ac:dyDescent="0.25">
      <c r="A997" s="5">
        <v>45433</v>
      </c>
      <c r="B997" s="1" t="s">
        <v>13</v>
      </c>
      <c r="C997" s="1" t="s">
        <v>17</v>
      </c>
      <c r="D997" s="1" t="s">
        <v>32</v>
      </c>
      <c r="E997" s="10">
        <v>4</v>
      </c>
      <c r="F997" s="10">
        <v>1687</v>
      </c>
      <c r="G997" s="1" t="s">
        <v>33</v>
      </c>
      <c r="H997" s="10">
        <f t="shared" si="30"/>
        <v>6748</v>
      </c>
      <c r="I997" s="7">
        <v>4839.791901390895</v>
      </c>
      <c r="J997" s="7">
        <f t="shared" si="31"/>
        <v>1908.208098609105</v>
      </c>
      <c r="K997" s="1">
        <f>IF(B997="North",28.6,
IF(B997="South",13,
IF(B997="East",22.6,
IF(B997="West",19,
23.5))))</f>
        <v>13</v>
      </c>
      <c r="L997" s="1">
        <f>IF(B997="North",77.2,
IF(B997="South",80.2,
IF(B997="East",88.4,
IF(B997="West",72.8,
78.9))))</f>
        <v>80.2</v>
      </c>
    </row>
    <row r="998" spans="1:12" x14ac:dyDescent="0.25">
      <c r="A998" s="5">
        <v>45611</v>
      </c>
      <c r="B998" s="1" t="s">
        <v>13</v>
      </c>
      <c r="C998" s="1" t="s">
        <v>22</v>
      </c>
      <c r="D998" s="1" t="s">
        <v>25</v>
      </c>
      <c r="E998" s="10">
        <v>3</v>
      </c>
      <c r="F998" s="10">
        <v>1922</v>
      </c>
      <c r="G998" s="1" t="s">
        <v>35</v>
      </c>
      <c r="H998" s="10">
        <f t="shared" si="30"/>
        <v>5766</v>
      </c>
      <c r="I998" s="7">
        <v>4152.5767759846449</v>
      </c>
      <c r="J998" s="7">
        <f t="shared" si="31"/>
        <v>1613.4232240153551</v>
      </c>
      <c r="K998" s="1">
        <f>IF(B998="North",28.6,
IF(B998="South",13,
IF(B998="East",22.6,
IF(B998="West",19,
23.5))))</f>
        <v>13</v>
      </c>
      <c r="L998" s="1">
        <f>IF(B998="North",77.2,
IF(B998="South",80.2,
IF(B998="East",88.4,
IF(B998="West",72.8,
78.9))))</f>
        <v>80.2</v>
      </c>
    </row>
    <row r="999" spans="1:12" x14ac:dyDescent="0.25">
      <c r="A999" s="5">
        <v>45329</v>
      </c>
      <c r="B999" s="1" t="s">
        <v>11</v>
      </c>
      <c r="C999" s="1" t="s">
        <v>20</v>
      </c>
      <c r="D999" s="1" t="s">
        <v>27</v>
      </c>
      <c r="E999" s="10">
        <v>17</v>
      </c>
      <c r="F999" s="10">
        <v>1924</v>
      </c>
      <c r="G999" s="1" t="s">
        <v>33</v>
      </c>
      <c r="H999" s="10">
        <f t="shared" si="30"/>
        <v>32708</v>
      </c>
      <c r="I999" s="7">
        <v>26157.625304416892</v>
      </c>
      <c r="J999" s="7">
        <f t="shared" si="31"/>
        <v>6550.3746955831084</v>
      </c>
      <c r="K999" s="1">
        <f>IF(B999="North",28.6,
IF(B999="South",13,
IF(B999="East",22.6,
IF(B999="West",19,
23.5))))</f>
        <v>19</v>
      </c>
      <c r="L999" s="1">
        <f>IF(B999="North",77.2,
IF(B999="South",80.2,
IF(B999="East",88.4,
IF(B999="West",72.8,
78.9))))</f>
        <v>72.8</v>
      </c>
    </row>
    <row r="1000" spans="1:12" x14ac:dyDescent="0.25">
      <c r="A1000" s="5">
        <v>45584</v>
      </c>
      <c r="B1000" s="1" t="s">
        <v>10</v>
      </c>
      <c r="C1000" s="1" t="s">
        <v>21</v>
      </c>
      <c r="D1000" s="1" t="s">
        <v>27</v>
      </c>
      <c r="E1000" s="10">
        <v>18</v>
      </c>
      <c r="F1000" s="10">
        <v>1264</v>
      </c>
      <c r="G1000" s="1" t="s">
        <v>35</v>
      </c>
      <c r="H1000" s="10">
        <f t="shared" si="30"/>
        <v>22752</v>
      </c>
      <c r="I1000" s="7">
        <v>19176.377023784269</v>
      </c>
      <c r="J1000" s="7">
        <f t="shared" si="31"/>
        <v>3575.6229762157309</v>
      </c>
      <c r="K1000" s="1">
        <f>IF(B1000="North",28.6,
IF(B1000="South",13,
IF(B1000="East",22.6,
IF(B1000="West",19,
23.5))))</f>
        <v>28.6</v>
      </c>
      <c r="L1000" s="1">
        <f>IF(B1000="North",77.2,
IF(B1000="South",80.2,
IF(B1000="East",88.4,
IF(B1000="West",72.8,
78.9))))</f>
        <v>77.2</v>
      </c>
    </row>
    <row r="1001" spans="1:12" x14ac:dyDescent="0.25">
      <c r="A1001" s="5">
        <v>45430</v>
      </c>
      <c r="B1001" s="1" t="s">
        <v>13</v>
      </c>
      <c r="C1001" s="1" t="s">
        <v>21</v>
      </c>
      <c r="D1001" s="1" t="s">
        <v>29</v>
      </c>
      <c r="E1001" s="10">
        <v>18</v>
      </c>
      <c r="F1001" s="10">
        <v>1269</v>
      </c>
      <c r="G1001" s="1" t="s">
        <v>35</v>
      </c>
      <c r="H1001" s="10">
        <f t="shared" si="30"/>
        <v>22842</v>
      </c>
      <c r="I1001" s="7">
        <v>17996.400846357272</v>
      </c>
      <c r="J1001" s="7">
        <f t="shared" si="31"/>
        <v>4845.5991536427282</v>
      </c>
      <c r="K1001" s="1">
        <f>IF(B1001="North",28.6,
IF(B1001="South",13,
IF(B1001="East",22.6,
IF(B1001="West",19,
23.5))))</f>
        <v>13</v>
      </c>
      <c r="L1001" s="1">
        <f>IF(B1001="North",77.2,
IF(B1001="South",80.2,
IF(B1001="East",88.4,
IF(B1001="West",72.8,
78.9))))</f>
        <v>80.2</v>
      </c>
    </row>
    <row r="1002" spans="1:12" x14ac:dyDescent="0.25">
      <c r="A1002" s="5">
        <v>45647</v>
      </c>
      <c r="B1002" s="1" t="s">
        <v>13</v>
      </c>
      <c r="C1002" s="1" t="s">
        <v>17</v>
      </c>
      <c r="D1002" s="1" t="s">
        <v>25</v>
      </c>
      <c r="E1002" s="10">
        <v>17</v>
      </c>
      <c r="F1002" s="10">
        <v>1548</v>
      </c>
      <c r="G1002" s="1" t="s">
        <v>33</v>
      </c>
      <c r="H1002" s="10">
        <f t="shared" si="30"/>
        <v>26316</v>
      </c>
      <c r="I1002" s="7">
        <v>21304.987981075301</v>
      </c>
      <c r="J1002" s="7">
        <f t="shared" si="31"/>
        <v>5011.0120189246991</v>
      </c>
      <c r="K1002" s="1">
        <f>IF(B1002="North",28.6,
IF(B1002="South",13,
IF(B1002="East",22.6,
IF(B1002="West",19,
23.5))))</f>
        <v>13</v>
      </c>
      <c r="L1002" s="1">
        <f>IF(B1002="North",77.2,
IF(B1002="South",80.2,
IF(B1002="East",88.4,
IF(B1002="West",72.8,
78.9))))</f>
        <v>80.2</v>
      </c>
    </row>
    <row r="1003" spans="1:12" x14ac:dyDescent="0.25">
      <c r="A1003" s="5">
        <v>45624</v>
      </c>
      <c r="B1003" s="1" t="s">
        <v>10</v>
      </c>
      <c r="C1003" s="1" t="s">
        <v>22</v>
      </c>
      <c r="D1003" s="1" t="s">
        <v>27</v>
      </c>
      <c r="E1003" s="10">
        <v>12</v>
      </c>
      <c r="F1003" s="10">
        <v>413</v>
      </c>
      <c r="G1003" s="1" t="s">
        <v>35</v>
      </c>
      <c r="H1003" s="10">
        <f t="shared" si="30"/>
        <v>4956</v>
      </c>
      <c r="I1003" s="7">
        <v>3528.0746561448382</v>
      </c>
      <c r="J1003" s="7">
        <f t="shared" si="31"/>
        <v>1427.9253438551618</v>
      </c>
      <c r="K1003" s="1">
        <f>IF(B1003="North",28.6,
IF(B1003="South",13,
IF(B1003="East",22.6,
IF(B1003="West",19,
23.5))))</f>
        <v>28.6</v>
      </c>
      <c r="L1003" s="1">
        <f>IF(B1003="North",77.2,
IF(B1003="South",80.2,
IF(B1003="East",88.4,
IF(B1003="West",72.8,
78.9))))</f>
        <v>77.2</v>
      </c>
    </row>
    <row r="1004" spans="1:12" x14ac:dyDescent="0.25">
      <c r="A1004" s="5">
        <v>45550</v>
      </c>
      <c r="B1004" s="1" t="s">
        <v>13</v>
      </c>
      <c r="C1004" s="1" t="s">
        <v>40</v>
      </c>
      <c r="D1004" s="1" t="s">
        <v>25</v>
      </c>
      <c r="E1004" s="10">
        <v>4</v>
      </c>
      <c r="F1004" s="10">
        <v>283</v>
      </c>
      <c r="G1004" s="1" t="s">
        <v>35</v>
      </c>
      <c r="H1004" s="10">
        <f t="shared" si="30"/>
        <v>1132</v>
      </c>
      <c r="I1004" s="7">
        <v>842.03712566801698</v>
      </c>
      <c r="J1004" s="7">
        <f t="shared" si="31"/>
        <v>289.96287433198302</v>
      </c>
      <c r="K1004" s="1">
        <f>IF(B1004="North",28.6,
IF(B1004="South",13,
IF(B1004="East",22.6,
IF(B1004="West",19,
23.5))))</f>
        <v>13</v>
      </c>
      <c r="L1004" s="1">
        <f>IF(B1004="North",77.2,
IF(B1004="South",80.2,
IF(B1004="East",88.4,
IF(B1004="West",72.8,
78.9))))</f>
        <v>80.2</v>
      </c>
    </row>
    <row r="1005" spans="1:12" x14ac:dyDescent="0.25">
      <c r="A1005" s="5">
        <v>45452</v>
      </c>
      <c r="B1005" s="1" t="s">
        <v>10</v>
      </c>
      <c r="C1005" s="1" t="s">
        <v>18</v>
      </c>
      <c r="D1005" s="1" t="s">
        <v>30</v>
      </c>
      <c r="E1005" s="10">
        <v>12</v>
      </c>
      <c r="F1005" s="10">
        <v>1787</v>
      </c>
      <c r="G1005" s="1" t="s">
        <v>34</v>
      </c>
      <c r="H1005" s="10">
        <f t="shared" si="30"/>
        <v>21444</v>
      </c>
      <c r="I1005" s="7">
        <v>14133.9661182657</v>
      </c>
      <c r="J1005" s="7">
        <f t="shared" si="31"/>
        <v>7310.0338817342999</v>
      </c>
      <c r="K1005" s="1">
        <f>IF(B1005="North",28.6,
IF(B1005="South",13,
IF(B1005="East",22.6,
IF(B1005="West",19,
23.5))))</f>
        <v>28.6</v>
      </c>
      <c r="L1005" s="1">
        <f>IF(B1005="North",77.2,
IF(B1005="South",80.2,
IF(B1005="East",88.4,
IF(B1005="West",72.8,
78.9))))</f>
        <v>77.2</v>
      </c>
    </row>
    <row r="1006" spans="1:12" x14ac:dyDescent="0.25">
      <c r="A1006" s="5">
        <v>45469</v>
      </c>
      <c r="B1006" s="1" t="s">
        <v>39</v>
      </c>
      <c r="C1006" s="1" t="s">
        <v>23</v>
      </c>
      <c r="D1006" s="1" t="s">
        <v>26</v>
      </c>
      <c r="E1006" s="10">
        <v>15</v>
      </c>
      <c r="F1006" s="10">
        <v>812</v>
      </c>
      <c r="G1006" s="1" t="s">
        <v>34</v>
      </c>
      <c r="H1006" s="10">
        <f t="shared" si="30"/>
        <v>12180</v>
      </c>
      <c r="I1006" s="7">
        <v>9793.6206770124045</v>
      </c>
      <c r="J1006" s="7">
        <f t="shared" si="31"/>
        <v>2386.3793229875955</v>
      </c>
      <c r="K1006" s="1">
        <f>IF(B1006="North",28.6,
IF(B1006="South",13,
IF(B1006="East",22.6,
IF(B1006="West",19,
23.5))))</f>
        <v>19</v>
      </c>
      <c r="L1006" s="1">
        <f>IF(B1006="North",77.2,
IF(B1006="South",80.2,
IF(B1006="East",88.4,
IF(B1006="West",72.8,
78.9))))</f>
        <v>72.8</v>
      </c>
    </row>
    <row r="1007" spans="1:12" x14ac:dyDescent="0.25">
      <c r="A1007" s="5">
        <v>45301</v>
      </c>
      <c r="B1007" s="1" t="s">
        <v>11</v>
      </c>
      <c r="C1007" s="1" t="s">
        <v>23</v>
      </c>
      <c r="D1007" s="1" t="s">
        <v>27</v>
      </c>
      <c r="E1007" s="10">
        <v>16</v>
      </c>
      <c r="F1007" s="10">
        <v>227</v>
      </c>
      <c r="G1007" s="1" t="s">
        <v>34</v>
      </c>
      <c r="H1007" s="10">
        <f t="shared" si="30"/>
        <v>3632</v>
      </c>
      <c r="I1007" s="7">
        <v>2420.4940342889431</v>
      </c>
      <c r="J1007" s="7">
        <f t="shared" si="31"/>
        <v>1211.5059657110569</v>
      </c>
      <c r="K1007" s="1">
        <f>IF(B1007="North",28.6,
IF(B1007="South",13,
IF(B1007="East",22.6,
IF(B1007="West",19,
23.5))))</f>
        <v>19</v>
      </c>
      <c r="L1007" s="1">
        <f>IF(B1007="North",77.2,
IF(B1007="South",80.2,
IF(B1007="East",88.4,
IF(B1007="West",72.8,
78.9))))</f>
        <v>72.8</v>
      </c>
    </row>
    <row r="1008" spans="1:12" x14ac:dyDescent="0.25">
      <c r="A1008" s="5">
        <v>45552</v>
      </c>
      <c r="B1008" s="1" t="s">
        <v>12</v>
      </c>
      <c r="C1008" s="1" t="s">
        <v>21</v>
      </c>
      <c r="D1008" s="1" t="s">
        <v>31</v>
      </c>
      <c r="E1008" s="10">
        <v>5</v>
      </c>
      <c r="F1008" s="10">
        <v>1410</v>
      </c>
      <c r="G1008" s="1" t="s">
        <v>35</v>
      </c>
      <c r="H1008" s="10">
        <f t="shared" si="30"/>
        <v>7050</v>
      </c>
      <c r="I1008" s="7">
        <v>4232.6581222579098</v>
      </c>
      <c r="J1008" s="7">
        <f t="shared" si="31"/>
        <v>2817.3418777420902</v>
      </c>
      <c r="K1008" s="1">
        <f>IF(B1008="North",28.6,
IF(B1008="South",13,
IF(B1008="East",22.6,
IF(B1008="West",19,
23.5))))</f>
        <v>22.6</v>
      </c>
      <c r="L1008" s="1">
        <f>IF(B1008="North",77.2,
IF(B1008="South",80.2,
IF(B1008="East",88.4,
IF(B1008="West",72.8,
78.9))))</f>
        <v>88.4</v>
      </c>
    </row>
    <row r="1009" spans="1:12" x14ac:dyDescent="0.25">
      <c r="A1009" s="5">
        <v>45429</v>
      </c>
      <c r="B1009" s="1" t="s">
        <v>11</v>
      </c>
      <c r="C1009" s="1" t="s">
        <v>17</v>
      </c>
      <c r="D1009" s="1" t="s">
        <v>32</v>
      </c>
      <c r="E1009" s="10">
        <v>15</v>
      </c>
      <c r="F1009" s="10">
        <v>1946</v>
      </c>
      <c r="G1009" s="1" t="s">
        <v>33</v>
      </c>
      <c r="H1009" s="10">
        <f t="shared" si="30"/>
        <v>29190</v>
      </c>
      <c r="I1009" s="7">
        <v>25690.954883147719</v>
      </c>
      <c r="J1009" s="7">
        <f t="shared" si="31"/>
        <v>3499.0451168522814</v>
      </c>
      <c r="K1009" s="1">
        <f>IF(B1009="North",28.6,
IF(B1009="South",13,
IF(B1009="East",22.6,
IF(B1009="West",19,
23.5))))</f>
        <v>19</v>
      </c>
      <c r="L1009" s="1">
        <f>IF(B1009="North",77.2,
IF(B1009="South",80.2,
IF(B1009="East",88.4,
IF(B1009="West",72.8,
78.9))))</f>
        <v>72.8</v>
      </c>
    </row>
    <row r="1010" spans="1:12" x14ac:dyDescent="0.25">
      <c r="A1010" s="5">
        <v>45463</v>
      </c>
      <c r="B1010" s="1" t="s">
        <v>12</v>
      </c>
      <c r="C1010" s="1" t="s">
        <v>17</v>
      </c>
      <c r="D1010" s="1" t="s">
        <v>25</v>
      </c>
      <c r="E1010" s="10">
        <v>17</v>
      </c>
      <c r="F1010" s="10">
        <v>1376</v>
      </c>
      <c r="G1010" s="1" t="s">
        <v>33</v>
      </c>
      <c r="H1010" s="10">
        <f t="shared" si="30"/>
        <v>23392</v>
      </c>
      <c r="I1010" s="7">
        <v>16182.69255674725</v>
      </c>
      <c r="J1010" s="7">
        <f t="shared" si="31"/>
        <v>7209.3074432527501</v>
      </c>
      <c r="K1010" s="1">
        <f>IF(B1010="North",28.6,
IF(B1010="South",13,
IF(B1010="East",22.6,
IF(B1010="West",19,
23.5))))</f>
        <v>22.6</v>
      </c>
      <c r="L1010" s="1">
        <f>IF(B1010="North",77.2,
IF(B1010="South",80.2,
IF(B1010="East",88.4,
IF(B1010="West",72.8,
78.9))))</f>
        <v>88.4</v>
      </c>
    </row>
    <row r="1011" spans="1:12" x14ac:dyDescent="0.25">
      <c r="A1011" s="5">
        <v>45304</v>
      </c>
      <c r="B1011" s="1" t="s">
        <v>12</v>
      </c>
      <c r="C1011" s="1" t="s">
        <v>20</v>
      </c>
      <c r="D1011" s="1" t="s">
        <v>25</v>
      </c>
      <c r="E1011" s="10">
        <v>18</v>
      </c>
      <c r="F1011" s="10">
        <v>1901</v>
      </c>
      <c r="G1011" s="1" t="s">
        <v>33</v>
      </c>
      <c r="H1011" s="10">
        <f t="shared" si="30"/>
        <v>34218</v>
      </c>
      <c r="I1011" s="7">
        <v>22549.306568730499</v>
      </c>
      <c r="J1011" s="7">
        <f t="shared" si="31"/>
        <v>11668.693431269501</v>
      </c>
      <c r="K1011" s="1">
        <f>IF(B1011="North",28.6,
IF(B1011="South",13,
IF(B1011="East",22.6,
IF(B1011="West",19,
23.5))))</f>
        <v>22.6</v>
      </c>
      <c r="L1011" s="1">
        <f>IF(B1011="North",77.2,
IF(B1011="South",80.2,
IF(B1011="East",88.4,
IF(B1011="West",72.8,
78.9))))</f>
        <v>88.4</v>
      </c>
    </row>
    <row r="1012" spans="1:12" x14ac:dyDescent="0.25">
      <c r="A1012" s="5">
        <v>45459</v>
      </c>
      <c r="B1012" s="1" t="s">
        <v>12</v>
      </c>
      <c r="C1012" s="1" t="s">
        <v>24</v>
      </c>
      <c r="D1012" s="1" t="s">
        <v>28</v>
      </c>
      <c r="E1012" s="10">
        <v>5</v>
      </c>
      <c r="F1012" s="10">
        <v>799</v>
      </c>
      <c r="G1012" s="1" t="s">
        <v>35</v>
      </c>
      <c r="H1012" s="10">
        <f t="shared" si="30"/>
        <v>3995</v>
      </c>
      <c r="I1012" s="7">
        <v>2718.3738570624819</v>
      </c>
      <c r="J1012" s="7">
        <f t="shared" si="31"/>
        <v>1276.6261429375181</v>
      </c>
      <c r="K1012" s="1">
        <f>IF(B1012="North",28.6,
IF(B1012="South",13,
IF(B1012="East",22.6,
IF(B1012="West",19,
23.5))))</f>
        <v>22.6</v>
      </c>
      <c r="L1012" s="1">
        <f>IF(B1012="North",77.2,
IF(B1012="South",80.2,
IF(B1012="East",88.4,
IF(B1012="West",72.8,
78.9))))</f>
        <v>88.4</v>
      </c>
    </row>
    <row r="1013" spans="1:12" x14ac:dyDescent="0.25">
      <c r="A1013" s="5">
        <v>45421</v>
      </c>
      <c r="B1013" s="1" t="s">
        <v>13</v>
      </c>
      <c r="C1013" s="1" t="s">
        <v>18</v>
      </c>
      <c r="D1013" s="1" t="s">
        <v>29</v>
      </c>
      <c r="E1013" s="10">
        <v>13</v>
      </c>
      <c r="F1013" s="10">
        <v>485</v>
      </c>
      <c r="G1013" s="1" t="s">
        <v>34</v>
      </c>
      <c r="H1013" s="10">
        <f t="shared" si="30"/>
        <v>6305</v>
      </c>
      <c r="I1013" s="7">
        <v>4408.0418200456716</v>
      </c>
      <c r="J1013" s="7">
        <f t="shared" si="31"/>
        <v>1896.9581799543284</v>
      </c>
      <c r="K1013" s="1">
        <f>IF(B1013="North",28.6,
IF(B1013="South",13,
IF(B1013="East",22.6,
IF(B1013="West",19,
23.5))))</f>
        <v>13</v>
      </c>
      <c r="L1013" s="1">
        <f>IF(B1013="North",77.2,
IF(B1013="South",80.2,
IF(B1013="East",88.4,
IF(B1013="West",72.8,
78.9))))</f>
        <v>80.2</v>
      </c>
    </row>
    <row r="1014" spans="1:12" x14ac:dyDescent="0.25">
      <c r="A1014" s="5">
        <v>45375</v>
      </c>
      <c r="B1014" s="1" t="s">
        <v>11</v>
      </c>
      <c r="C1014" s="1" t="s">
        <v>24</v>
      </c>
      <c r="D1014" s="1" t="s">
        <v>28</v>
      </c>
      <c r="E1014" s="10">
        <v>19</v>
      </c>
      <c r="F1014" s="10">
        <v>1353</v>
      </c>
      <c r="G1014" s="1" t="s">
        <v>35</v>
      </c>
      <c r="H1014" s="10">
        <f t="shared" si="30"/>
        <v>25707</v>
      </c>
      <c r="I1014" s="7">
        <v>19083.949495410961</v>
      </c>
      <c r="J1014" s="7">
        <f t="shared" si="31"/>
        <v>6623.0505045890386</v>
      </c>
      <c r="K1014" s="1">
        <f>IF(B1014="North",28.6,
IF(B1014="South",13,
IF(B1014="East",22.6,
IF(B1014="West",19,
23.5))))</f>
        <v>19</v>
      </c>
      <c r="L1014" s="1">
        <f>IF(B1014="North",77.2,
IF(B1014="South",80.2,
IF(B1014="East",88.4,
IF(B1014="West",72.8,
78.9))))</f>
        <v>72.8</v>
      </c>
    </row>
    <row r="1015" spans="1:12" x14ac:dyDescent="0.25">
      <c r="A1015" s="5">
        <v>45612</v>
      </c>
      <c r="B1015" s="1" t="s">
        <v>12</v>
      </c>
      <c r="C1015" s="1" t="s">
        <v>21</v>
      </c>
      <c r="D1015" s="1" t="s">
        <v>27</v>
      </c>
      <c r="E1015" s="10">
        <v>13</v>
      </c>
      <c r="F1015" s="10">
        <v>370</v>
      </c>
      <c r="G1015" s="1" t="s">
        <v>35</v>
      </c>
      <c r="H1015" s="10">
        <f t="shared" si="30"/>
        <v>4810</v>
      </c>
      <c r="I1015" s="7">
        <v>2986.0744612798348</v>
      </c>
      <c r="J1015" s="7">
        <f t="shared" si="31"/>
        <v>1823.9255387201652</v>
      </c>
      <c r="K1015" s="1">
        <f>IF(B1015="North",28.6,
IF(B1015="South",13,
IF(B1015="East",22.6,
IF(B1015="West",19,
23.5))))</f>
        <v>22.6</v>
      </c>
      <c r="L1015" s="1">
        <f>IF(B1015="North",77.2,
IF(B1015="South",80.2,
IF(B1015="East",88.4,
IF(B1015="West",72.8,
78.9))))</f>
        <v>88.4</v>
      </c>
    </row>
    <row r="1016" spans="1:12" x14ac:dyDescent="0.25">
      <c r="A1016" s="5">
        <v>45610</v>
      </c>
      <c r="B1016" s="1" t="s">
        <v>10</v>
      </c>
      <c r="C1016" s="1" t="s">
        <v>23</v>
      </c>
      <c r="D1016" s="1" t="s">
        <v>28</v>
      </c>
      <c r="E1016" s="10">
        <v>18</v>
      </c>
      <c r="F1016" s="10">
        <v>1894</v>
      </c>
      <c r="G1016" s="1" t="s">
        <v>34</v>
      </c>
      <c r="H1016" s="10">
        <f t="shared" si="30"/>
        <v>34092</v>
      </c>
      <c r="I1016" s="7">
        <v>20993.919972406871</v>
      </c>
      <c r="J1016" s="7">
        <f t="shared" si="31"/>
        <v>13098.080027593129</v>
      </c>
      <c r="K1016" s="1">
        <f>IF(B1016="North",28.6,
IF(B1016="South",13,
IF(B1016="East",22.6,
IF(B1016="West",19,
23.5))))</f>
        <v>28.6</v>
      </c>
      <c r="L1016" s="1">
        <f>IF(B1016="North",77.2,
IF(B1016="South",80.2,
IF(B1016="East",88.4,
IF(B1016="West",72.8,
78.9))))</f>
        <v>77.2</v>
      </c>
    </row>
    <row r="1017" spans="1:12" x14ac:dyDescent="0.25">
      <c r="A1017" s="5">
        <v>45392</v>
      </c>
      <c r="B1017" s="1" t="s">
        <v>13</v>
      </c>
      <c r="C1017" s="1" t="s">
        <v>20</v>
      </c>
      <c r="D1017" s="1" t="s">
        <v>28</v>
      </c>
      <c r="E1017" s="10">
        <v>14</v>
      </c>
      <c r="F1017" s="10">
        <v>910</v>
      </c>
      <c r="G1017" s="1" t="s">
        <v>33</v>
      </c>
      <c r="H1017" s="10">
        <f t="shared" si="30"/>
        <v>12740</v>
      </c>
      <c r="I1017" s="7">
        <v>8763.5049458865124</v>
      </c>
      <c r="J1017" s="7">
        <f t="shared" si="31"/>
        <v>3976.4950541134876</v>
      </c>
      <c r="K1017" s="1">
        <f>IF(B1017="North",28.6,
IF(B1017="South",13,
IF(B1017="East",22.6,
IF(B1017="West",19,
23.5))))</f>
        <v>13</v>
      </c>
      <c r="L1017" s="1">
        <f>IF(B1017="North",77.2,
IF(B1017="South",80.2,
IF(B1017="East",88.4,
IF(B1017="West",72.8,
78.9))))</f>
        <v>80.2</v>
      </c>
    </row>
    <row r="1018" spans="1:12" x14ac:dyDescent="0.25">
      <c r="A1018" s="5">
        <v>45620</v>
      </c>
      <c r="B1018" s="1" t="s">
        <v>11</v>
      </c>
      <c r="C1018" s="1" t="s">
        <v>20</v>
      </c>
      <c r="D1018" s="1" t="s">
        <v>30</v>
      </c>
      <c r="E1018" s="10">
        <v>4</v>
      </c>
      <c r="F1018" s="10">
        <v>514</v>
      </c>
      <c r="G1018" s="1" t="s">
        <v>33</v>
      </c>
      <c r="H1018" s="10">
        <f t="shared" si="30"/>
        <v>2056</v>
      </c>
      <c r="I1018" s="7">
        <v>1416.028549722369</v>
      </c>
      <c r="J1018" s="7">
        <f t="shared" si="31"/>
        <v>639.97145027763099</v>
      </c>
      <c r="K1018" s="1">
        <f>IF(B1018="North",28.6,
IF(B1018="South",13,
IF(B1018="East",22.6,
IF(B1018="West",19,
23.5))))</f>
        <v>19</v>
      </c>
      <c r="L1018" s="1">
        <f>IF(B1018="North",77.2,
IF(B1018="South",80.2,
IF(B1018="East",88.4,
IF(B1018="West",72.8,
78.9))))</f>
        <v>72.8</v>
      </c>
    </row>
    <row r="1019" spans="1:12" x14ac:dyDescent="0.25">
      <c r="A1019" s="5">
        <v>45564</v>
      </c>
      <c r="B1019" s="1" t="s">
        <v>12</v>
      </c>
      <c r="C1019" s="1" t="s">
        <v>20</v>
      </c>
      <c r="D1019" s="1" t="s">
        <v>25</v>
      </c>
      <c r="E1019" s="10">
        <v>4</v>
      </c>
      <c r="F1019" s="10">
        <v>297</v>
      </c>
      <c r="G1019" s="1" t="s">
        <v>33</v>
      </c>
      <c r="H1019" s="10">
        <f t="shared" si="30"/>
        <v>1188</v>
      </c>
      <c r="I1019" s="7">
        <v>754.72911559299337</v>
      </c>
      <c r="J1019" s="7">
        <f t="shared" si="31"/>
        <v>433.27088440700663</v>
      </c>
      <c r="K1019" s="1">
        <f>IF(B1019="North",28.6,
IF(B1019="South",13,
IF(B1019="East",22.6,
IF(B1019="West",19,
23.5))))</f>
        <v>22.6</v>
      </c>
      <c r="L1019" s="1">
        <f>IF(B1019="North",77.2,
IF(B1019="South",80.2,
IF(B1019="East",88.4,
IF(B1019="West",72.8,
78.9))))</f>
        <v>88.4</v>
      </c>
    </row>
    <row r="1020" spans="1:12" x14ac:dyDescent="0.25">
      <c r="A1020" s="5">
        <v>45556</v>
      </c>
      <c r="B1020" s="1" t="s">
        <v>10</v>
      </c>
      <c r="C1020" s="1" t="s">
        <v>21</v>
      </c>
      <c r="D1020" s="1" t="s">
        <v>31</v>
      </c>
      <c r="E1020" s="10">
        <v>19</v>
      </c>
      <c r="F1020" s="10">
        <v>1446</v>
      </c>
      <c r="G1020" s="1" t="s">
        <v>35</v>
      </c>
      <c r="H1020" s="10">
        <f t="shared" si="30"/>
        <v>27474</v>
      </c>
      <c r="I1020" s="7">
        <v>19820.773278708701</v>
      </c>
      <c r="J1020" s="7">
        <f t="shared" si="31"/>
        <v>7653.2267212912993</v>
      </c>
      <c r="K1020" s="1">
        <f>IF(B1020="North",28.6,
IF(B1020="South",13,
IF(B1020="East",22.6,
IF(B1020="West",19,
23.5))))</f>
        <v>28.6</v>
      </c>
      <c r="L1020" s="1">
        <f>IF(B1020="North",77.2,
IF(B1020="South",80.2,
IF(B1020="East",88.4,
IF(B1020="West",72.8,
78.9))))</f>
        <v>77.2</v>
      </c>
    </row>
    <row r="1021" spans="1:12" x14ac:dyDescent="0.25">
      <c r="A1021" s="5">
        <v>45329</v>
      </c>
      <c r="B1021" s="1" t="s">
        <v>11</v>
      </c>
      <c r="C1021" s="1" t="s">
        <v>24</v>
      </c>
      <c r="D1021" s="1" t="s">
        <v>29</v>
      </c>
      <c r="E1021" s="10">
        <v>13</v>
      </c>
      <c r="F1021" s="10">
        <v>1179</v>
      </c>
      <c r="G1021" s="1" t="s">
        <v>35</v>
      </c>
      <c r="H1021" s="10">
        <f t="shared" si="30"/>
        <v>15327</v>
      </c>
      <c r="I1021" s="7">
        <v>10502.19221926321</v>
      </c>
      <c r="J1021" s="7">
        <f t="shared" si="31"/>
        <v>4824.8077807367899</v>
      </c>
      <c r="K1021" s="1">
        <f>IF(B1021="North",28.6,
IF(B1021="South",13,
IF(B1021="East",22.6,
IF(B1021="West",19,
23.5))))</f>
        <v>19</v>
      </c>
      <c r="L1021" s="1">
        <f>IF(B1021="North",77.2,
IF(B1021="South",80.2,
IF(B1021="East",88.4,
IF(B1021="West",72.8,
78.9))))</f>
        <v>72.8</v>
      </c>
    </row>
    <row r="1022" spans="1:12" x14ac:dyDescent="0.25">
      <c r="A1022" s="5">
        <v>45385</v>
      </c>
      <c r="B1022" s="1" t="s">
        <v>11</v>
      </c>
      <c r="C1022" s="1" t="s">
        <v>23</v>
      </c>
      <c r="D1022" s="1" t="s">
        <v>31</v>
      </c>
      <c r="E1022" s="10">
        <v>12</v>
      </c>
      <c r="F1022" s="10">
        <v>930</v>
      </c>
      <c r="G1022" s="1" t="s">
        <v>34</v>
      </c>
      <c r="H1022" s="10">
        <f t="shared" si="30"/>
        <v>11160</v>
      </c>
      <c r="I1022" s="7">
        <v>6783.2339907578944</v>
      </c>
      <c r="J1022" s="7">
        <f t="shared" si="31"/>
        <v>4376.7660092421056</v>
      </c>
      <c r="K1022" s="1">
        <f>IF(B1022="North",28.6,
IF(B1022="South",13,
IF(B1022="East",22.6,
IF(B1022="West",19,
23.5))))</f>
        <v>19</v>
      </c>
      <c r="L1022" s="1">
        <f>IF(B1022="North",77.2,
IF(B1022="South",80.2,
IF(B1022="East",88.4,
IF(B1022="West",72.8,
78.9))))</f>
        <v>72.8</v>
      </c>
    </row>
    <row r="1023" spans="1:12" x14ac:dyDescent="0.25">
      <c r="A1023" s="5">
        <v>45386</v>
      </c>
      <c r="B1023" s="1" t="s">
        <v>13</v>
      </c>
      <c r="C1023" s="1" t="s">
        <v>20</v>
      </c>
      <c r="D1023" s="1" t="s">
        <v>30</v>
      </c>
      <c r="E1023" s="10">
        <v>7</v>
      </c>
      <c r="F1023" s="10">
        <v>1326</v>
      </c>
      <c r="G1023" s="1" t="s">
        <v>33</v>
      </c>
      <c r="H1023" s="10">
        <f t="shared" si="30"/>
        <v>9282</v>
      </c>
      <c r="I1023" s="7">
        <v>8035.5780851606251</v>
      </c>
      <c r="J1023" s="7">
        <f t="shared" si="31"/>
        <v>1246.4219148393749</v>
      </c>
      <c r="K1023" s="1">
        <f>IF(B1023="North",28.6,
IF(B1023="South",13,
IF(B1023="East",22.6,
IF(B1023="West",19,
23.5))))</f>
        <v>13</v>
      </c>
      <c r="L1023" s="1">
        <f>IF(B1023="North",77.2,
IF(B1023="South",80.2,
IF(B1023="East",88.4,
IF(B1023="West",72.8,
78.9))))</f>
        <v>80.2</v>
      </c>
    </row>
    <row r="1024" spans="1:12" x14ac:dyDescent="0.25">
      <c r="A1024" s="5">
        <v>45596</v>
      </c>
      <c r="B1024" s="1" t="s">
        <v>11</v>
      </c>
      <c r="C1024" s="1" t="s">
        <v>23</v>
      </c>
      <c r="D1024" s="1" t="s">
        <v>30</v>
      </c>
      <c r="E1024" s="10">
        <v>12</v>
      </c>
      <c r="F1024" s="10">
        <v>1906</v>
      </c>
      <c r="G1024" s="1" t="s">
        <v>34</v>
      </c>
      <c r="H1024" s="10">
        <f t="shared" si="30"/>
        <v>22872</v>
      </c>
      <c r="I1024" s="7">
        <v>19802.708094207901</v>
      </c>
      <c r="J1024" s="7">
        <f t="shared" si="31"/>
        <v>3069.291905792099</v>
      </c>
      <c r="K1024" s="1">
        <f>IF(B1024="North",28.6,
IF(B1024="South",13,
IF(B1024="East",22.6,
IF(B1024="West",19,
23.5))))</f>
        <v>19</v>
      </c>
      <c r="L1024" s="1">
        <f>IF(B1024="North",77.2,
IF(B1024="South",80.2,
IF(B1024="East",88.4,
IF(B1024="West",72.8,
78.9))))</f>
        <v>72.8</v>
      </c>
    </row>
    <row r="1025" spans="1:12" x14ac:dyDescent="0.25">
      <c r="A1025" s="5">
        <v>45360</v>
      </c>
      <c r="B1025" s="1" t="s">
        <v>13</v>
      </c>
      <c r="C1025" s="1" t="s">
        <v>22</v>
      </c>
      <c r="D1025" s="1" t="s">
        <v>28</v>
      </c>
      <c r="E1025" s="10">
        <v>4</v>
      </c>
      <c r="F1025" s="10">
        <v>1744</v>
      </c>
      <c r="G1025" s="1" t="s">
        <v>35</v>
      </c>
      <c r="H1025" s="10">
        <f t="shared" si="30"/>
        <v>6976</v>
      </c>
      <c r="I1025" s="7">
        <v>4623.3766188973186</v>
      </c>
      <c r="J1025" s="7">
        <f t="shared" si="31"/>
        <v>2352.6233811026814</v>
      </c>
      <c r="K1025" s="1">
        <f>IF(B1025="North",28.6,
IF(B1025="South",13,
IF(B1025="East",22.6,
IF(B1025="West",19,
23.5))))</f>
        <v>13</v>
      </c>
      <c r="L1025" s="1">
        <f>IF(B1025="North",77.2,
IF(B1025="South",80.2,
IF(B1025="East",88.4,
IF(B1025="West",72.8,
78.9))))</f>
        <v>80.2</v>
      </c>
    </row>
    <row r="1026" spans="1:12" x14ac:dyDescent="0.25">
      <c r="A1026" s="5">
        <v>45609</v>
      </c>
      <c r="B1026" s="1" t="s">
        <v>12</v>
      </c>
      <c r="C1026" s="1" t="s">
        <v>17</v>
      </c>
      <c r="D1026" s="1" t="s">
        <v>26</v>
      </c>
      <c r="E1026" s="10">
        <v>2</v>
      </c>
      <c r="F1026" s="10">
        <v>727</v>
      </c>
      <c r="G1026" s="1" t="s">
        <v>33</v>
      </c>
      <c r="H1026" s="10">
        <f t="shared" si="30"/>
        <v>1454</v>
      </c>
      <c r="I1026" s="7">
        <v>943.44486592528858</v>
      </c>
      <c r="J1026" s="7">
        <f t="shared" si="31"/>
        <v>510.55513407471142</v>
      </c>
      <c r="K1026" s="1">
        <f>IF(B1026="North",28.6,
IF(B1026="South",13,
IF(B1026="East",22.6,
IF(B1026="West",19,
23.5))))</f>
        <v>22.6</v>
      </c>
      <c r="L1026" s="1">
        <f>IF(B1026="North",77.2,
IF(B1026="South",80.2,
IF(B1026="East",88.4,
IF(B1026="West",72.8,
78.9))))</f>
        <v>88.4</v>
      </c>
    </row>
    <row r="1027" spans="1:12" x14ac:dyDescent="0.25">
      <c r="A1027" s="5">
        <v>45527</v>
      </c>
      <c r="B1027" s="1" t="s">
        <v>13</v>
      </c>
      <c r="C1027" s="1" t="s">
        <v>17</v>
      </c>
      <c r="D1027" s="1" t="s">
        <v>25</v>
      </c>
      <c r="E1027" s="10">
        <v>2</v>
      </c>
      <c r="F1027" s="10">
        <v>703</v>
      </c>
      <c r="G1027" s="1" t="s">
        <v>33</v>
      </c>
      <c r="H1027" s="10">
        <f t="shared" ref="H1027:H1090" si="32">E1027*F1027</f>
        <v>1406</v>
      </c>
      <c r="I1027" s="7">
        <v>1074.4480880015569</v>
      </c>
      <c r="J1027" s="7">
        <f t="shared" ref="J1027:J1090" si="33">H1027-I1027</f>
        <v>331.55191199844307</v>
      </c>
      <c r="K1027" s="1">
        <f>IF(B1027="North",28.6,
IF(B1027="South",13,
IF(B1027="East",22.6,
IF(B1027="West",19,
23.5))))</f>
        <v>13</v>
      </c>
      <c r="L1027" s="1">
        <f>IF(B1027="North",77.2,
IF(B1027="South",80.2,
IF(B1027="East",88.4,
IF(B1027="West",72.8,
78.9))))</f>
        <v>80.2</v>
      </c>
    </row>
    <row r="1028" spans="1:12" x14ac:dyDescent="0.25">
      <c r="A1028" s="5">
        <v>45625</v>
      </c>
      <c r="B1028" s="1" t="s">
        <v>10</v>
      </c>
      <c r="C1028" s="1" t="s">
        <v>23</v>
      </c>
      <c r="D1028" s="1" t="s">
        <v>32</v>
      </c>
      <c r="E1028" s="10">
        <v>5</v>
      </c>
      <c r="F1028" s="10">
        <v>1261</v>
      </c>
      <c r="G1028" s="1" t="s">
        <v>34</v>
      </c>
      <c r="H1028" s="10">
        <f t="shared" si="32"/>
        <v>6305</v>
      </c>
      <c r="I1028" s="7">
        <v>4976.0702508893764</v>
      </c>
      <c r="J1028" s="7">
        <f t="shared" si="33"/>
        <v>1328.9297491106236</v>
      </c>
      <c r="K1028" s="1">
        <f>IF(B1028="North",28.6,
IF(B1028="South",13,
IF(B1028="East",22.6,
IF(B1028="West",19,
23.5))))</f>
        <v>28.6</v>
      </c>
      <c r="L1028" s="1">
        <f>IF(B1028="North",77.2,
IF(B1028="South",80.2,
IF(B1028="East",88.4,
IF(B1028="West",72.8,
78.9))))</f>
        <v>77.2</v>
      </c>
    </row>
    <row r="1029" spans="1:12" x14ac:dyDescent="0.25">
      <c r="A1029" s="5">
        <v>45428</v>
      </c>
      <c r="B1029" s="1" t="s">
        <v>13</v>
      </c>
      <c r="C1029" s="1" t="s">
        <v>19</v>
      </c>
      <c r="D1029" s="1" t="s">
        <v>25</v>
      </c>
      <c r="E1029" s="10">
        <v>10</v>
      </c>
      <c r="F1029" s="10">
        <v>1545</v>
      </c>
      <c r="G1029" s="1" t="s">
        <v>35</v>
      </c>
      <c r="H1029" s="10">
        <f t="shared" si="32"/>
        <v>15450</v>
      </c>
      <c r="I1029" s="7">
        <v>13708.20975376718</v>
      </c>
      <c r="J1029" s="7">
        <f t="shared" si="33"/>
        <v>1741.7902462328202</v>
      </c>
      <c r="K1029" s="1">
        <f>IF(B1029="North",28.6,
IF(B1029="South",13,
IF(B1029="East",22.6,
IF(B1029="West",19,
23.5))))</f>
        <v>13</v>
      </c>
      <c r="L1029" s="1">
        <f>IF(B1029="North",77.2,
IF(B1029="South",80.2,
IF(B1029="East",88.4,
IF(B1029="West",72.8,
78.9))))</f>
        <v>80.2</v>
      </c>
    </row>
    <row r="1030" spans="1:12" x14ac:dyDescent="0.25">
      <c r="A1030" s="5">
        <v>45367</v>
      </c>
      <c r="B1030" s="1" t="s">
        <v>10</v>
      </c>
      <c r="C1030" s="1" t="s">
        <v>19</v>
      </c>
      <c r="D1030" s="1" t="s">
        <v>32</v>
      </c>
      <c r="E1030" s="10">
        <v>10</v>
      </c>
      <c r="F1030" s="10">
        <v>1938</v>
      </c>
      <c r="G1030" s="1" t="s">
        <v>35</v>
      </c>
      <c r="H1030" s="10">
        <f t="shared" si="32"/>
        <v>19380</v>
      </c>
      <c r="I1030" s="7">
        <v>13821.903926903869</v>
      </c>
      <c r="J1030" s="7">
        <f t="shared" si="33"/>
        <v>5558.0960730961306</v>
      </c>
      <c r="K1030" s="1">
        <f>IF(B1030="North",28.6,
IF(B1030="South",13,
IF(B1030="East",22.6,
IF(B1030="West",19,
23.5))))</f>
        <v>28.6</v>
      </c>
      <c r="L1030" s="1">
        <f>IF(B1030="North",77.2,
IF(B1030="South",80.2,
IF(B1030="East",88.4,
IF(B1030="West",72.8,
78.9))))</f>
        <v>77.2</v>
      </c>
    </row>
    <row r="1031" spans="1:12" x14ac:dyDescent="0.25">
      <c r="A1031" s="5">
        <v>45326</v>
      </c>
      <c r="B1031" s="1" t="s">
        <v>13</v>
      </c>
      <c r="C1031" s="1" t="s">
        <v>21</v>
      </c>
      <c r="D1031" s="1" t="s">
        <v>36</v>
      </c>
      <c r="E1031" s="10">
        <v>9</v>
      </c>
      <c r="F1031" s="10">
        <v>0</v>
      </c>
      <c r="G1031" s="1" t="s">
        <v>35</v>
      </c>
      <c r="H1031" s="10">
        <f t="shared" si="32"/>
        <v>0</v>
      </c>
      <c r="I1031" s="7">
        <v>0</v>
      </c>
      <c r="J1031" s="7">
        <f t="shared" si="33"/>
        <v>0</v>
      </c>
      <c r="K1031" s="1">
        <f>IF(B1031="North",28.6,
IF(B1031="South",13,
IF(B1031="East",22.6,
IF(B1031="West",19,
23.5))))</f>
        <v>13</v>
      </c>
      <c r="L1031" s="1">
        <f>IF(B1031="North",77.2,
IF(B1031="South",80.2,
IF(B1031="East",88.4,
IF(B1031="West",72.8,
78.9))))</f>
        <v>80.2</v>
      </c>
    </row>
    <row r="1032" spans="1:12" x14ac:dyDescent="0.25">
      <c r="A1032" s="5">
        <v>45292</v>
      </c>
      <c r="B1032" s="1" t="s">
        <v>11</v>
      </c>
      <c r="C1032" s="1" t="s">
        <v>21</v>
      </c>
      <c r="D1032" s="1" t="s">
        <v>32</v>
      </c>
      <c r="E1032" s="10">
        <v>13</v>
      </c>
      <c r="F1032" s="10">
        <v>1685</v>
      </c>
      <c r="G1032" s="1" t="s">
        <v>35</v>
      </c>
      <c r="H1032" s="10">
        <f t="shared" si="32"/>
        <v>21905</v>
      </c>
      <c r="I1032" s="7">
        <v>18913.96674250302</v>
      </c>
      <c r="J1032" s="7">
        <f t="shared" si="33"/>
        <v>2991.0332574969798</v>
      </c>
      <c r="K1032" s="1">
        <f>IF(B1032="North",28.6,
IF(B1032="South",13,
IF(B1032="East",22.6,
IF(B1032="West",19,
23.5))))</f>
        <v>19</v>
      </c>
      <c r="L1032" s="1">
        <f>IF(B1032="North",77.2,
IF(B1032="South",80.2,
IF(B1032="East",88.4,
IF(B1032="West",72.8,
78.9))))</f>
        <v>72.8</v>
      </c>
    </row>
    <row r="1033" spans="1:12" x14ac:dyDescent="0.25">
      <c r="A1033" s="5">
        <v>45587</v>
      </c>
      <c r="B1033" s="1" t="s">
        <v>12</v>
      </c>
      <c r="C1033" s="1" t="s">
        <v>17</v>
      </c>
      <c r="D1033" s="1" t="s">
        <v>30</v>
      </c>
      <c r="E1033" s="10">
        <v>7</v>
      </c>
      <c r="F1033" s="10">
        <v>1109</v>
      </c>
      <c r="G1033" s="1" t="s">
        <v>33</v>
      </c>
      <c r="H1033" s="10">
        <f t="shared" si="32"/>
        <v>7763</v>
      </c>
      <c r="I1033" s="7">
        <v>5705.6973717050214</v>
      </c>
      <c r="J1033" s="7">
        <f t="shared" si="33"/>
        <v>2057.3026282949786</v>
      </c>
      <c r="K1033" s="1">
        <f>IF(B1033="North",28.6,
IF(B1033="South",13,
IF(B1033="East",22.6,
IF(B1033="West",19,
23.5))))</f>
        <v>22.6</v>
      </c>
      <c r="L1033" s="1">
        <f>IF(B1033="North",77.2,
IF(B1033="South",80.2,
IF(B1033="East",88.4,
IF(B1033="West",72.8,
78.9))))</f>
        <v>88.4</v>
      </c>
    </row>
    <row r="1034" spans="1:12" x14ac:dyDescent="0.25">
      <c r="A1034" s="5">
        <v>45611</v>
      </c>
      <c r="B1034" s="1" t="s">
        <v>10</v>
      </c>
      <c r="C1034" s="1" t="s">
        <v>22</v>
      </c>
      <c r="D1034" s="1" t="s">
        <v>31</v>
      </c>
      <c r="E1034" s="10">
        <v>5</v>
      </c>
      <c r="F1034" s="10">
        <v>170</v>
      </c>
      <c r="G1034" s="1" t="s">
        <v>35</v>
      </c>
      <c r="H1034" s="10">
        <f t="shared" si="32"/>
        <v>850</v>
      </c>
      <c r="I1034" s="7">
        <v>541.19816654511806</v>
      </c>
      <c r="J1034" s="7">
        <f t="shared" si="33"/>
        <v>308.80183345488194</v>
      </c>
      <c r="K1034" s="1">
        <f>IF(B1034="North",28.6,
IF(B1034="South",13,
IF(B1034="East",22.6,
IF(B1034="West",19,
23.5))))</f>
        <v>28.6</v>
      </c>
      <c r="L1034" s="1">
        <f>IF(B1034="North",77.2,
IF(B1034="South",80.2,
IF(B1034="East",88.4,
IF(B1034="West",72.8,
78.9))))</f>
        <v>77.2</v>
      </c>
    </row>
    <row r="1035" spans="1:12" x14ac:dyDescent="0.25">
      <c r="A1035" s="5">
        <v>45351</v>
      </c>
      <c r="B1035" s="1" t="s">
        <v>13</v>
      </c>
      <c r="C1035" s="1" t="s">
        <v>18</v>
      </c>
      <c r="D1035" s="1" t="s">
        <v>32</v>
      </c>
      <c r="E1035" s="10">
        <v>10</v>
      </c>
      <c r="F1035" s="10">
        <v>1010</v>
      </c>
      <c r="G1035" s="1" t="s">
        <v>34</v>
      </c>
      <c r="H1035" s="10">
        <f t="shared" si="32"/>
        <v>10100</v>
      </c>
      <c r="I1035" s="7">
        <v>7203.6652760648212</v>
      </c>
      <c r="J1035" s="7">
        <f t="shared" si="33"/>
        <v>2896.3347239351788</v>
      </c>
      <c r="K1035" s="1">
        <f>IF(B1035="North",28.6,
IF(B1035="South",13,
IF(B1035="East",22.6,
IF(B1035="West",19,
23.5))))</f>
        <v>13</v>
      </c>
      <c r="L1035" s="1">
        <f>IF(B1035="North",77.2,
IF(B1035="South",80.2,
IF(B1035="East",88.4,
IF(B1035="West",72.8,
78.9))))</f>
        <v>80.2</v>
      </c>
    </row>
    <row r="1036" spans="1:12" x14ac:dyDescent="0.25">
      <c r="A1036" s="5">
        <v>45611</v>
      </c>
      <c r="B1036" s="1" t="s">
        <v>13</v>
      </c>
      <c r="C1036" s="1" t="s">
        <v>24</v>
      </c>
      <c r="D1036" s="1" t="s">
        <v>25</v>
      </c>
      <c r="E1036" s="10">
        <v>10</v>
      </c>
      <c r="F1036" s="10">
        <v>693</v>
      </c>
      <c r="G1036" s="1" t="s">
        <v>35</v>
      </c>
      <c r="H1036" s="10">
        <f t="shared" si="32"/>
        <v>6930</v>
      </c>
      <c r="I1036" s="7">
        <v>4441.9226406161624</v>
      </c>
      <c r="J1036" s="7">
        <f t="shared" si="33"/>
        <v>2488.0773593838376</v>
      </c>
      <c r="K1036" s="1">
        <f>IF(B1036="North",28.6,
IF(B1036="South",13,
IF(B1036="East",22.6,
IF(B1036="West",19,
23.5))))</f>
        <v>13</v>
      </c>
      <c r="L1036" s="1">
        <f>IF(B1036="North",77.2,
IF(B1036="South",80.2,
IF(B1036="East",88.4,
IF(B1036="West",72.8,
78.9))))</f>
        <v>80.2</v>
      </c>
    </row>
    <row r="1037" spans="1:12" x14ac:dyDescent="0.25">
      <c r="A1037" s="5">
        <v>45640</v>
      </c>
      <c r="B1037" s="1" t="s">
        <v>13</v>
      </c>
      <c r="C1037" s="1" t="s">
        <v>24</v>
      </c>
      <c r="D1037" s="1" t="s">
        <v>29</v>
      </c>
      <c r="E1037" s="10">
        <v>6</v>
      </c>
      <c r="F1037" s="10">
        <v>1495</v>
      </c>
      <c r="G1037" s="1" t="s">
        <v>35</v>
      </c>
      <c r="H1037" s="10">
        <f t="shared" si="32"/>
        <v>8970</v>
      </c>
      <c r="I1037" s="7">
        <v>5426.7767981674479</v>
      </c>
      <c r="J1037" s="7">
        <f t="shared" si="33"/>
        <v>3543.2232018325521</v>
      </c>
      <c r="K1037" s="1">
        <f>IF(B1037="North",28.6,
IF(B1037="South",13,
IF(B1037="East",22.6,
IF(B1037="West",19,
23.5))))</f>
        <v>13</v>
      </c>
      <c r="L1037" s="1">
        <f>IF(B1037="North",77.2,
IF(B1037="South",80.2,
IF(B1037="East",88.4,
IF(B1037="West",72.8,
78.9))))</f>
        <v>80.2</v>
      </c>
    </row>
    <row r="1038" spans="1:12" x14ac:dyDescent="0.25">
      <c r="A1038" s="5">
        <v>45619</v>
      </c>
      <c r="B1038" s="1" t="s">
        <v>11</v>
      </c>
      <c r="C1038" s="1" t="s">
        <v>21</v>
      </c>
      <c r="D1038" s="1" t="s">
        <v>28</v>
      </c>
      <c r="E1038" s="10">
        <v>19</v>
      </c>
      <c r="F1038" s="10">
        <v>1740</v>
      </c>
      <c r="G1038" s="1" t="s">
        <v>35</v>
      </c>
      <c r="H1038" s="10">
        <f t="shared" si="32"/>
        <v>33060</v>
      </c>
      <c r="I1038" s="7">
        <v>27289.903212869642</v>
      </c>
      <c r="J1038" s="7">
        <f t="shared" si="33"/>
        <v>5770.0967871303583</v>
      </c>
      <c r="K1038" s="1">
        <f>IF(B1038="North",28.6,
IF(B1038="South",13,
IF(B1038="East",22.6,
IF(B1038="West",19,
23.5))))</f>
        <v>19</v>
      </c>
      <c r="L1038" s="1">
        <f>IF(B1038="North",77.2,
IF(B1038="South",80.2,
IF(B1038="East",88.4,
IF(B1038="West",72.8,
78.9))))</f>
        <v>72.8</v>
      </c>
    </row>
    <row r="1039" spans="1:12" x14ac:dyDescent="0.25">
      <c r="A1039" s="5">
        <v>45558</v>
      </c>
      <c r="B1039" s="1" t="s">
        <v>11</v>
      </c>
      <c r="C1039" s="1" t="s">
        <v>22</v>
      </c>
      <c r="D1039" s="1" t="s">
        <v>26</v>
      </c>
      <c r="E1039" s="10">
        <v>8</v>
      </c>
      <c r="F1039" s="10">
        <v>699</v>
      </c>
      <c r="G1039" s="1" t="s">
        <v>35</v>
      </c>
      <c r="H1039" s="10">
        <f t="shared" si="32"/>
        <v>5592</v>
      </c>
      <c r="I1039" s="7">
        <v>3755.1795999510091</v>
      </c>
      <c r="J1039" s="7">
        <f t="shared" si="33"/>
        <v>1836.8204000489909</v>
      </c>
      <c r="K1039" s="1">
        <f>IF(B1039="North",28.6,
IF(B1039="South",13,
IF(B1039="East",22.6,
IF(B1039="West",19,
23.5))))</f>
        <v>19</v>
      </c>
      <c r="L1039" s="1">
        <f>IF(B1039="North",77.2,
IF(B1039="South",80.2,
IF(B1039="East",88.4,
IF(B1039="West",72.8,
78.9))))</f>
        <v>72.8</v>
      </c>
    </row>
    <row r="1040" spans="1:12" x14ac:dyDescent="0.25">
      <c r="A1040" s="5">
        <v>45652</v>
      </c>
      <c r="B1040" s="1" t="s">
        <v>10</v>
      </c>
      <c r="C1040" s="1" t="s">
        <v>21</v>
      </c>
      <c r="D1040" s="1" t="s">
        <v>28</v>
      </c>
      <c r="E1040" s="10">
        <v>1</v>
      </c>
      <c r="F1040" s="10">
        <v>613</v>
      </c>
      <c r="G1040" s="1" t="s">
        <v>35</v>
      </c>
      <c r="H1040" s="10">
        <f t="shared" si="32"/>
        <v>613</v>
      </c>
      <c r="I1040" s="7">
        <v>368.16909572978727</v>
      </c>
      <c r="J1040" s="7">
        <f t="shared" si="33"/>
        <v>244.83090427021273</v>
      </c>
      <c r="K1040" s="1">
        <f>IF(B1040="North",28.6,
IF(B1040="South",13,
IF(B1040="East",22.6,
IF(B1040="West",19,
23.5))))</f>
        <v>28.6</v>
      </c>
      <c r="L1040" s="1">
        <f>IF(B1040="North",77.2,
IF(B1040="South",80.2,
IF(B1040="East",88.4,
IF(B1040="West",72.8,
78.9))))</f>
        <v>77.2</v>
      </c>
    </row>
    <row r="1041" spans="1:12" x14ac:dyDescent="0.25">
      <c r="A1041" s="5">
        <v>45520</v>
      </c>
      <c r="B1041" s="1" t="s">
        <v>10</v>
      </c>
      <c r="C1041" s="1" t="s">
        <v>18</v>
      </c>
      <c r="D1041" s="1" t="s">
        <v>27</v>
      </c>
      <c r="E1041" s="10">
        <v>17</v>
      </c>
      <c r="F1041" s="10">
        <v>1995</v>
      </c>
      <c r="G1041" s="1" t="s">
        <v>34</v>
      </c>
      <c r="H1041" s="10">
        <f t="shared" si="32"/>
        <v>33915</v>
      </c>
      <c r="I1041" s="7">
        <v>29225.563021741331</v>
      </c>
      <c r="J1041" s="7">
        <f t="shared" si="33"/>
        <v>4689.4369782586691</v>
      </c>
      <c r="K1041" s="1">
        <f>IF(B1041="North",28.6,
IF(B1041="South",13,
IF(B1041="East",22.6,
IF(B1041="West",19,
23.5))))</f>
        <v>28.6</v>
      </c>
      <c r="L1041" s="1">
        <f>IF(B1041="North",77.2,
IF(B1041="South",80.2,
IF(B1041="East",88.4,
IF(B1041="West",72.8,
78.9))))</f>
        <v>77.2</v>
      </c>
    </row>
    <row r="1042" spans="1:12" x14ac:dyDescent="0.25">
      <c r="A1042" s="5">
        <v>45561</v>
      </c>
      <c r="B1042" s="1" t="s">
        <v>11</v>
      </c>
      <c r="C1042" s="1" t="s">
        <v>24</v>
      </c>
      <c r="D1042" s="1" t="s">
        <v>28</v>
      </c>
      <c r="E1042" s="10">
        <v>7</v>
      </c>
      <c r="F1042" s="10">
        <v>183</v>
      </c>
      <c r="G1042" s="1" t="s">
        <v>35</v>
      </c>
      <c r="H1042" s="10">
        <f t="shared" si="32"/>
        <v>1281</v>
      </c>
      <c r="I1042" s="7">
        <v>939.14805063205506</v>
      </c>
      <c r="J1042" s="7">
        <f t="shared" si="33"/>
        <v>341.85194936794494</v>
      </c>
      <c r="K1042" s="1">
        <f>IF(B1042="North",28.6,
IF(B1042="South",13,
IF(B1042="East",22.6,
IF(B1042="West",19,
23.5))))</f>
        <v>19</v>
      </c>
      <c r="L1042" s="1">
        <f>IF(B1042="North",77.2,
IF(B1042="South",80.2,
IF(B1042="East",88.4,
IF(B1042="West",72.8,
78.9))))</f>
        <v>72.8</v>
      </c>
    </row>
    <row r="1043" spans="1:12" x14ac:dyDescent="0.25">
      <c r="A1043" s="5">
        <v>45607</v>
      </c>
      <c r="B1043" s="1" t="s">
        <v>10</v>
      </c>
      <c r="C1043" s="1" t="s">
        <v>23</v>
      </c>
      <c r="D1043" s="1" t="s">
        <v>30</v>
      </c>
      <c r="E1043" s="10">
        <v>14</v>
      </c>
      <c r="F1043" s="10">
        <v>1093</v>
      </c>
      <c r="G1043" s="1" t="s">
        <v>34</v>
      </c>
      <c r="H1043" s="10">
        <f t="shared" si="32"/>
        <v>15302</v>
      </c>
      <c r="I1043" s="7">
        <v>10277.710163444281</v>
      </c>
      <c r="J1043" s="7">
        <f t="shared" si="33"/>
        <v>5024.2898365557194</v>
      </c>
      <c r="K1043" s="1">
        <f>IF(B1043="North",28.6,
IF(B1043="South",13,
IF(B1043="East",22.6,
IF(B1043="West",19,
23.5))))</f>
        <v>28.6</v>
      </c>
      <c r="L1043" s="1">
        <f>IF(B1043="North",77.2,
IF(B1043="South",80.2,
IF(B1043="East",88.4,
IF(B1043="West",72.8,
78.9))))</f>
        <v>77.2</v>
      </c>
    </row>
    <row r="1044" spans="1:12" x14ac:dyDescent="0.25">
      <c r="A1044" s="5">
        <v>45577</v>
      </c>
      <c r="B1044" s="1" t="s">
        <v>12</v>
      </c>
      <c r="C1044" s="1" t="s">
        <v>21</v>
      </c>
      <c r="D1044" s="1" t="s">
        <v>31</v>
      </c>
      <c r="E1044" s="10">
        <v>17</v>
      </c>
      <c r="F1044" s="10">
        <v>1166</v>
      </c>
      <c r="G1044" s="1" t="s">
        <v>35</v>
      </c>
      <c r="H1044" s="10">
        <f t="shared" si="32"/>
        <v>19822</v>
      </c>
      <c r="I1044" s="7">
        <v>13455.906849608729</v>
      </c>
      <c r="J1044" s="7">
        <f t="shared" si="33"/>
        <v>6366.0931503912707</v>
      </c>
      <c r="K1044" s="1">
        <f>IF(B1044="North",28.6,
IF(B1044="South",13,
IF(B1044="East",22.6,
IF(B1044="West",19,
23.5))))</f>
        <v>22.6</v>
      </c>
      <c r="L1044" s="1">
        <f>IF(B1044="North",77.2,
IF(B1044="South",80.2,
IF(B1044="East",88.4,
IF(B1044="West",72.8,
78.9))))</f>
        <v>88.4</v>
      </c>
    </row>
    <row r="1045" spans="1:12" x14ac:dyDescent="0.25">
      <c r="A1045" s="5">
        <v>45582</v>
      </c>
      <c r="B1045" s="1" t="s">
        <v>12</v>
      </c>
      <c r="C1045" s="1" t="s">
        <v>40</v>
      </c>
      <c r="D1045" s="1" t="s">
        <v>31</v>
      </c>
      <c r="E1045" s="10">
        <v>9</v>
      </c>
      <c r="F1045" s="10">
        <v>1789</v>
      </c>
      <c r="G1045" s="1" t="s">
        <v>33</v>
      </c>
      <c r="H1045" s="10">
        <f t="shared" si="32"/>
        <v>16101</v>
      </c>
      <c r="I1045" s="7">
        <v>10822.47018603138</v>
      </c>
      <c r="J1045" s="7">
        <f t="shared" si="33"/>
        <v>5278.5298139686201</v>
      </c>
      <c r="K1045" s="1">
        <f>IF(B1045="North",28.6,
IF(B1045="South",13,
IF(B1045="East",22.6,
IF(B1045="West",19,
23.5))))</f>
        <v>22.6</v>
      </c>
      <c r="L1045" s="1">
        <f>IF(B1045="North",77.2,
IF(B1045="South",80.2,
IF(B1045="East",88.4,
IF(B1045="West",72.8,
78.9))))</f>
        <v>88.4</v>
      </c>
    </row>
    <row r="1046" spans="1:12" x14ac:dyDescent="0.25">
      <c r="A1046" s="5">
        <v>45504</v>
      </c>
      <c r="B1046" s="1" t="s">
        <v>11</v>
      </c>
      <c r="C1046" s="1" t="s">
        <v>23</v>
      </c>
      <c r="D1046" s="1" t="s">
        <v>29</v>
      </c>
      <c r="E1046" s="10">
        <v>17</v>
      </c>
      <c r="F1046" s="10">
        <v>938</v>
      </c>
      <c r="G1046" s="1" t="s">
        <v>34</v>
      </c>
      <c r="H1046" s="10">
        <f t="shared" si="32"/>
        <v>15946</v>
      </c>
      <c r="I1046" s="7">
        <v>10498.317763897239</v>
      </c>
      <c r="J1046" s="7">
        <f t="shared" si="33"/>
        <v>5447.6822361027607</v>
      </c>
      <c r="K1046" s="1">
        <f>IF(B1046="North",28.6,
IF(B1046="South",13,
IF(B1046="East",22.6,
IF(B1046="West",19,
23.5))))</f>
        <v>19</v>
      </c>
      <c r="L1046" s="1">
        <f>IF(B1046="North",77.2,
IF(B1046="South",80.2,
IF(B1046="East",88.4,
IF(B1046="West",72.8,
78.9))))</f>
        <v>72.8</v>
      </c>
    </row>
    <row r="1047" spans="1:12" x14ac:dyDescent="0.25">
      <c r="A1047" s="5">
        <v>45456</v>
      </c>
      <c r="B1047" s="1" t="s">
        <v>10</v>
      </c>
      <c r="C1047" s="1" t="s">
        <v>18</v>
      </c>
      <c r="D1047" s="1" t="s">
        <v>32</v>
      </c>
      <c r="E1047" s="10">
        <v>5</v>
      </c>
      <c r="F1047" s="10">
        <v>705</v>
      </c>
      <c r="G1047" s="1" t="s">
        <v>34</v>
      </c>
      <c r="H1047" s="10">
        <f t="shared" si="32"/>
        <v>3525</v>
      </c>
      <c r="I1047" s="7">
        <v>3004.5967324873191</v>
      </c>
      <c r="J1047" s="7">
        <f t="shared" si="33"/>
        <v>520.40326751268094</v>
      </c>
      <c r="K1047" s="1">
        <f>IF(B1047="North",28.6,
IF(B1047="South",13,
IF(B1047="East",22.6,
IF(B1047="West",19,
23.5))))</f>
        <v>28.6</v>
      </c>
      <c r="L1047" s="1">
        <f>IF(B1047="North",77.2,
IF(B1047="South",80.2,
IF(B1047="East",88.4,
IF(B1047="West",72.8,
78.9))))</f>
        <v>77.2</v>
      </c>
    </row>
    <row r="1048" spans="1:12" x14ac:dyDescent="0.25">
      <c r="A1048" s="5">
        <v>45296</v>
      </c>
      <c r="B1048" s="1" t="s">
        <v>13</v>
      </c>
      <c r="C1048" s="1" t="s">
        <v>18</v>
      </c>
      <c r="D1048" s="1" t="s">
        <v>30</v>
      </c>
      <c r="E1048" s="10">
        <v>8</v>
      </c>
      <c r="F1048" s="10">
        <v>909</v>
      </c>
      <c r="G1048" s="1" t="s">
        <v>34</v>
      </c>
      <c r="H1048" s="10">
        <f t="shared" si="32"/>
        <v>7272</v>
      </c>
      <c r="I1048" s="7">
        <v>4734.7954935413072</v>
      </c>
      <c r="J1048" s="7">
        <f t="shared" si="33"/>
        <v>2537.2045064586928</v>
      </c>
      <c r="K1048" s="1">
        <f>IF(B1048="North",28.6,
IF(B1048="South",13,
IF(B1048="East",22.6,
IF(B1048="West",19,
23.5))))</f>
        <v>13</v>
      </c>
      <c r="L1048" s="1">
        <f>IF(B1048="North",77.2,
IF(B1048="South",80.2,
IF(B1048="East",88.4,
IF(B1048="West",72.8,
78.9))))</f>
        <v>80.2</v>
      </c>
    </row>
    <row r="1049" spans="1:12" x14ac:dyDescent="0.25">
      <c r="A1049" s="5">
        <v>45630</v>
      </c>
      <c r="B1049" s="1" t="s">
        <v>12</v>
      </c>
      <c r="C1049" s="1" t="s">
        <v>21</v>
      </c>
      <c r="D1049" s="1" t="s">
        <v>27</v>
      </c>
      <c r="E1049" s="10">
        <v>6</v>
      </c>
      <c r="F1049" s="10">
        <v>232</v>
      </c>
      <c r="G1049" s="1" t="s">
        <v>35</v>
      </c>
      <c r="H1049" s="10">
        <f t="shared" si="32"/>
        <v>1392</v>
      </c>
      <c r="I1049" s="7">
        <v>1069.830515988037</v>
      </c>
      <c r="J1049" s="7">
        <f t="shared" si="33"/>
        <v>322.16948401196305</v>
      </c>
      <c r="K1049" s="1">
        <f>IF(B1049="North",28.6,
IF(B1049="South",13,
IF(B1049="East",22.6,
IF(B1049="West",19,
23.5))))</f>
        <v>22.6</v>
      </c>
      <c r="L1049" s="1">
        <f>IF(B1049="North",77.2,
IF(B1049="South",80.2,
IF(B1049="East",88.4,
IF(B1049="West",72.8,
78.9))))</f>
        <v>88.4</v>
      </c>
    </row>
    <row r="1050" spans="1:12" x14ac:dyDescent="0.25">
      <c r="A1050" s="5">
        <v>45369</v>
      </c>
      <c r="B1050" s="1" t="s">
        <v>11</v>
      </c>
      <c r="C1050" s="1" t="s">
        <v>17</v>
      </c>
      <c r="D1050" s="1" t="s">
        <v>30</v>
      </c>
      <c r="E1050" s="10">
        <v>11</v>
      </c>
      <c r="F1050" s="10">
        <v>1518</v>
      </c>
      <c r="G1050" s="1" t="s">
        <v>33</v>
      </c>
      <c r="H1050" s="10">
        <f t="shared" si="32"/>
        <v>16698</v>
      </c>
      <c r="I1050" s="7">
        <v>10406.128033660851</v>
      </c>
      <c r="J1050" s="7">
        <f t="shared" si="33"/>
        <v>6291.8719663391494</v>
      </c>
      <c r="K1050" s="1">
        <f>IF(B1050="North",28.6,
IF(B1050="South",13,
IF(B1050="East",22.6,
IF(B1050="West",19,
23.5))))</f>
        <v>19</v>
      </c>
      <c r="L1050" s="1">
        <f>IF(B1050="North",77.2,
IF(B1050="South",80.2,
IF(B1050="East",88.4,
IF(B1050="West",72.8,
78.9))))</f>
        <v>72.8</v>
      </c>
    </row>
    <row r="1051" spans="1:12" x14ac:dyDescent="0.25">
      <c r="A1051" s="5">
        <v>45353</v>
      </c>
      <c r="B1051" s="1" t="s">
        <v>10</v>
      </c>
      <c r="C1051" s="1" t="s">
        <v>21</v>
      </c>
      <c r="D1051" s="1" t="s">
        <v>28</v>
      </c>
      <c r="E1051" s="10">
        <v>19</v>
      </c>
      <c r="F1051" s="10">
        <v>1073.5</v>
      </c>
      <c r="G1051" s="1" t="s">
        <v>35</v>
      </c>
      <c r="H1051" s="10">
        <f t="shared" si="32"/>
        <v>20396.5</v>
      </c>
      <c r="I1051" s="7">
        <f>H1051*0.7</f>
        <v>14277.55</v>
      </c>
      <c r="J1051" s="7">
        <f t="shared" si="33"/>
        <v>6118.9500000000007</v>
      </c>
      <c r="K1051" s="1">
        <f>IF(B1051="North",28.6,
IF(B1051="South",13,
IF(B1051="East",22.6,
IF(B1051="West",19,
23.5))))</f>
        <v>28.6</v>
      </c>
      <c r="L1051" s="1">
        <f>IF(B1051="North",77.2,
IF(B1051="South",80.2,
IF(B1051="East",88.4,
IF(B1051="West",72.8,
78.9))))</f>
        <v>77.2</v>
      </c>
    </row>
    <row r="1052" spans="1:12" x14ac:dyDescent="0.25">
      <c r="A1052" s="5">
        <v>45423</v>
      </c>
      <c r="B1052" s="1" t="s">
        <v>11</v>
      </c>
      <c r="C1052" s="1" t="s">
        <v>17</v>
      </c>
      <c r="D1052" s="1" t="s">
        <v>30</v>
      </c>
      <c r="E1052" s="10">
        <v>4</v>
      </c>
      <c r="F1052" s="10">
        <v>389</v>
      </c>
      <c r="G1052" s="1" t="s">
        <v>33</v>
      </c>
      <c r="H1052" s="10">
        <f t="shared" si="32"/>
        <v>1556</v>
      </c>
      <c r="I1052" s="7">
        <v>1215.226930595356</v>
      </c>
      <c r="J1052" s="7">
        <f t="shared" si="33"/>
        <v>340.77306940464405</v>
      </c>
      <c r="K1052" s="1">
        <f>IF(B1052="North",28.6,
IF(B1052="South",13,
IF(B1052="East",22.6,
IF(B1052="West",19,
23.5))))</f>
        <v>19</v>
      </c>
      <c r="L1052" s="1">
        <f>IF(B1052="North",77.2,
IF(B1052="South",80.2,
IF(B1052="East",88.4,
IF(B1052="West",72.8,
78.9))))</f>
        <v>72.8</v>
      </c>
    </row>
    <row r="1053" spans="1:12" x14ac:dyDescent="0.25">
      <c r="A1053" s="5">
        <v>45380</v>
      </c>
      <c r="B1053" s="1" t="s">
        <v>13</v>
      </c>
      <c r="C1053" s="1" t="s">
        <v>18</v>
      </c>
      <c r="D1053" s="1" t="s">
        <v>30</v>
      </c>
      <c r="E1053" s="10">
        <v>18</v>
      </c>
      <c r="F1053" s="10">
        <v>475</v>
      </c>
      <c r="G1053" s="1" t="s">
        <v>34</v>
      </c>
      <c r="H1053" s="10">
        <f t="shared" si="32"/>
        <v>8550</v>
      </c>
      <c r="I1053" s="7">
        <v>7446.5861912338814</v>
      </c>
      <c r="J1053" s="7">
        <f t="shared" si="33"/>
        <v>1103.4138087661186</v>
      </c>
      <c r="K1053" s="1">
        <f>IF(B1053="North",28.6,
IF(B1053="South",13,
IF(B1053="East",22.6,
IF(B1053="West",19,
23.5))))</f>
        <v>13</v>
      </c>
      <c r="L1053" s="1">
        <f>IF(B1053="North",77.2,
IF(B1053="South",80.2,
IF(B1053="East",88.4,
IF(B1053="West",72.8,
78.9))))</f>
        <v>80.2</v>
      </c>
    </row>
    <row r="1054" spans="1:12" x14ac:dyDescent="0.25">
      <c r="A1054" s="5">
        <v>45528</v>
      </c>
      <c r="B1054" s="1" t="s">
        <v>12</v>
      </c>
      <c r="C1054" s="1" t="s">
        <v>22</v>
      </c>
      <c r="D1054" s="1" t="s">
        <v>29</v>
      </c>
      <c r="E1054" s="10">
        <v>1</v>
      </c>
      <c r="F1054" s="10">
        <v>868</v>
      </c>
      <c r="G1054" s="1" t="s">
        <v>35</v>
      </c>
      <c r="H1054" s="10">
        <f t="shared" si="32"/>
        <v>868</v>
      </c>
      <c r="I1054" s="7">
        <v>624.40737377541905</v>
      </c>
      <c r="J1054" s="7">
        <f t="shared" si="33"/>
        <v>243.59262622458095</v>
      </c>
      <c r="K1054" s="1">
        <f>IF(B1054="North",28.6,
IF(B1054="South",13,
IF(B1054="East",22.6,
IF(B1054="West",19,
23.5))))</f>
        <v>22.6</v>
      </c>
      <c r="L1054" s="1">
        <f>IF(B1054="North",77.2,
IF(B1054="South",80.2,
IF(B1054="East",88.4,
IF(B1054="West",72.8,
78.9))))</f>
        <v>88.4</v>
      </c>
    </row>
    <row r="1055" spans="1:12" x14ac:dyDescent="0.25">
      <c r="A1055" s="5">
        <v>45333</v>
      </c>
      <c r="B1055" s="1" t="s">
        <v>11</v>
      </c>
      <c r="C1055" s="1" t="s">
        <v>18</v>
      </c>
      <c r="D1055" s="1" t="s">
        <v>27</v>
      </c>
      <c r="E1055" s="10">
        <v>13</v>
      </c>
      <c r="F1055" s="10">
        <v>566</v>
      </c>
      <c r="G1055" s="1" t="s">
        <v>34</v>
      </c>
      <c r="H1055" s="10">
        <f t="shared" si="32"/>
        <v>7358</v>
      </c>
      <c r="I1055" s="7">
        <v>6204.2774980973472</v>
      </c>
      <c r="J1055" s="7">
        <f t="shared" si="33"/>
        <v>1153.7225019026528</v>
      </c>
      <c r="K1055" s="1">
        <f>IF(B1055="North",28.6,
IF(B1055="South",13,
IF(B1055="East",22.6,
IF(B1055="West",19,
23.5))))</f>
        <v>19</v>
      </c>
      <c r="L1055" s="1">
        <f>IF(B1055="North",77.2,
IF(B1055="South",80.2,
IF(B1055="East",88.4,
IF(B1055="West",72.8,
78.9))))</f>
        <v>72.8</v>
      </c>
    </row>
    <row r="1056" spans="1:12" x14ac:dyDescent="0.25">
      <c r="A1056" s="5">
        <v>45380</v>
      </c>
      <c r="B1056" s="1" t="s">
        <v>11</v>
      </c>
      <c r="C1056" s="1" t="s">
        <v>24</v>
      </c>
      <c r="D1056" s="1" t="s">
        <v>28</v>
      </c>
      <c r="E1056" s="10">
        <v>14</v>
      </c>
      <c r="F1056" s="10">
        <v>1336</v>
      </c>
      <c r="G1056" s="1" t="s">
        <v>35</v>
      </c>
      <c r="H1056" s="10">
        <f t="shared" si="32"/>
        <v>18704</v>
      </c>
      <c r="I1056" s="7">
        <v>16012.426015085981</v>
      </c>
      <c r="J1056" s="7">
        <f t="shared" si="33"/>
        <v>2691.5739849140191</v>
      </c>
      <c r="K1056" s="1">
        <f>IF(B1056="North",28.6,
IF(B1056="South",13,
IF(B1056="East",22.6,
IF(B1056="West",19,
23.5))))</f>
        <v>19</v>
      </c>
      <c r="L1056" s="1">
        <f>IF(B1056="North",77.2,
IF(B1056="South",80.2,
IF(B1056="East",88.4,
IF(B1056="West",72.8,
78.9))))</f>
        <v>72.8</v>
      </c>
    </row>
    <row r="1057" spans="1:12" x14ac:dyDescent="0.25">
      <c r="A1057" s="5">
        <v>45587</v>
      </c>
      <c r="B1057" s="1" t="s">
        <v>11</v>
      </c>
      <c r="C1057" s="1" t="s">
        <v>23</v>
      </c>
      <c r="D1057" s="1" t="s">
        <v>26</v>
      </c>
      <c r="E1057" s="10">
        <v>1</v>
      </c>
      <c r="F1057" s="10">
        <v>1271</v>
      </c>
      <c r="G1057" s="1" t="s">
        <v>34</v>
      </c>
      <c r="H1057" s="10">
        <f t="shared" si="32"/>
        <v>1271</v>
      </c>
      <c r="I1057" s="7">
        <v>1030.634564726427</v>
      </c>
      <c r="J1057" s="7">
        <f t="shared" si="33"/>
        <v>240.36543527357298</v>
      </c>
      <c r="K1057" s="1">
        <f>IF(B1057="North",28.6,
IF(B1057="South",13,
IF(B1057="East",22.6,
IF(B1057="West",19,
23.5))))</f>
        <v>19</v>
      </c>
      <c r="L1057" s="1">
        <f>IF(B1057="North",77.2,
IF(B1057="South",80.2,
IF(B1057="East",88.4,
IF(B1057="West",72.8,
78.9))))</f>
        <v>72.8</v>
      </c>
    </row>
    <row r="1058" spans="1:12" x14ac:dyDescent="0.25">
      <c r="A1058" s="5">
        <v>45619</v>
      </c>
      <c r="B1058" s="1" t="s">
        <v>13</v>
      </c>
      <c r="C1058" s="1" t="s">
        <v>23</v>
      </c>
      <c r="D1058" s="1" t="s">
        <v>29</v>
      </c>
      <c r="E1058" s="10">
        <v>11</v>
      </c>
      <c r="F1058" s="10">
        <v>1696</v>
      </c>
      <c r="G1058" s="1" t="s">
        <v>34</v>
      </c>
      <c r="H1058" s="10">
        <f t="shared" si="32"/>
        <v>18656</v>
      </c>
      <c r="I1058" s="7">
        <v>11713.8083802481</v>
      </c>
      <c r="J1058" s="7">
        <f t="shared" si="33"/>
        <v>6942.1916197519004</v>
      </c>
      <c r="K1058" s="1">
        <f>IF(B1058="North",28.6,
IF(B1058="South",13,
IF(B1058="East",22.6,
IF(B1058="West",19,
23.5))))</f>
        <v>13</v>
      </c>
      <c r="L1058" s="1">
        <f>IF(B1058="North",77.2,
IF(B1058="South",80.2,
IF(B1058="East",88.4,
IF(B1058="West",72.8,
78.9))))</f>
        <v>80.2</v>
      </c>
    </row>
    <row r="1059" spans="1:12" x14ac:dyDescent="0.25">
      <c r="A1059" s="5">
        <v>45586</v>
      </c>
      <c r="B1059" s="1" t="s">
        <v>11</v>
      </c>
      <c r="C1059" s="1" t="s">
        <v>19</v>
      </c>
      <c r="D1059" s="1" t="s">
        <v>26</v>
      </c>
      <c r="E1059" s="10">
        <v>17</v>
      </c>
      <c r="F1059" s="10">
        <v>570</v>
      </c>
      <c r="G1059" s="1" t="s">
        <v>35</v>
      </c>
      <c r="H1059" s="10">
        <f t="shared" si="32"/>
        <v>9690</v>
      </c>
      <c r="I1059" s="7">
        <v>5860.7448111819695</v>
      </c>
      <c r="J1059" s="7">
        <f t="shared" si="33"/>
        <v>3829.2551888180305</v>
      </c>
      <c r="K1059" s="1">
        <f>IF(B1059="North",28.6,
IF(B1059="South",13,
IF(B1059="East",22.6,
IF(B1059="West",19,
23.5))))</f>
        <v>19</v>
      </c>
      <c r="L1059" s="1">
        <f>IF(B1059="North",77.2,
IF(B1059="South",80.2,
IF(B1059="East",88.4,
IF(B1059="West",72.8,
78.9))))</f>
        <v>72.8</v>
      </c>
    </row>
    <row r="1060" spans="1:12" x14ac:dyDescent="0.25">
      <c r="A1060" s="5">
        <v>45395</v>
      </c>
      <c r="B1060" s="1" t="s">
        <v>13</v>
      </c>
      <c r="C1060" s="1" t="s">
        <v>19</v>
      </c>
      <c r="D1060" s="1" t="s">
        <v>29</v>
      </c>
      <c r="E1060" s="10">
        <v>4</v>
      </c>
      <c r="F1060" s="10">
        <v>248</v>
      </c>
      <c r="G1060" s="1" t="s">
        <v>35</v>
      </c>
      <c r="H1060" s="10">
        <f t="shared" si="32"/>
        <v>992</v>
      </c>
      <c r="I1060" s="7">
        <v>645.36335840393156</v>
      </c>
      <c r="J1060" s="7">
        <f t="shared" si="33"/>
        <v>346.63664159606844</v>
      </c>
      <c r="K1060" s="1">
        <f>IF(B1060="North",28.6,
IF(B1060="South",13,
IF(B1060="East",22.6,
IF(B1060="West",19,
23.5))))</f>
        <v>13</v>
      </c>
      <c r="L1060" s="1">
        <f>IF(B1060="North",77.2,
IF(B1060="South",80.2,
IF(B1060="East",88.4,
IF(B1060="West",72.8,
78.9))))</f>
        <v>80.2</v>
      </c>
    </row>
    <row r="1061" spans="1:12" x14ac:dyDescent="0.25">
      <c r="A1061" s="5">
        <v>45305</v>
      </c>
      <c r="B1061" s="1" t="s">
        <v>13</v>
      </c>
      <c r="C1061" s="1" t="s">
        <v>18</v>
      </c>
      <c r="D1061" s="1" t="s">
        <v>31</v>
      </c>
      <c r="E1061" s="10">
        <v>12</v>
      </c>
      <c r="F1061" s="10">
        <v>187</v>
      </c>
      <c r="G1061" s="1" t="s">
        <v>34</v>
      </c>
      <c r="H1061" s="10">
        <f t="shared" si="32"/>
        <v>2244</v>
      </c>
      <c r="I1061" s="7">
        <v>1425.902736789968</v>
      </c>
      <c r="J1061" s="7">
        <f t="shared" si="33"/>
        <v>818.097263210032</v>
      </c>
      <c r="K1061" s="1">
        <f>IF(B1061="North",28.6,
IF(B1061="South",13,
IF(B1061="East",22.6,
IF(B1061="West",19,
23.5))))</f>
        <v>13</v>
      </c>
      <c r="L1061" s="1">
        <f>IF(B1061="North",77.2,
IF(B1061="South",80.2,
IF(B1061="East",88.4,
IF(B1061="West",72.8,
78.9))))</f>
        <v>80.2</v>
      </c>
    </row>
    <row r="1062" spans="1:12" x14ac:dyDescent="0.25">
      <c r="A1062" s="5">
        <v>45579</v>
      </c>
      <c r="B1062" s="1" t="s">
        <v>13</v>
      </c>
      <c r="C1062" s="1" t="s">
        <v>24</v>
      </c>
      <c r="D1062" s="1" t="s">
        <v>25</v>
      </c>
      <c r="E1062" s="10">
        <v>10</v>
      </c>
      <c r="F1062" s="10">
        <v>1447</v>
      </c>
      <c r="G1062" s="1" t="s">
        <v>35</v>
      </c>
      <c r="H1062" s="10">
        <f t="shared" si="32"/>
        <v>14470</v>
      </c>
      <c r="I1062" s="7">
        <v>11829.82260029152</v>
      </c>
      <c r="J1062" s="7">
        <f t="shared" si="33"/>
        <v>2640.1773997084802</v>
      </c>
      <c r="K1062" s="1">
        <f>IF(B1062="North",28.6,
IF(B1062="South",13,
IF(B1062="East",22.6,
IF(B1062="West",19,
23.5))))</f>
        <v>13</v>
      </c>
      <c r="L1062" s="1">
        <f>IF(B1062="North",77.2,
IF(B1062="South",80.2,
IF(B1062="East",88.4,
IF(B1062="West",72.8,
78.9))))</f>
        <v>80.2</v>
      </c>
    </row>
    <row r="1063" spans="1:12" x14ac:dyDescent="0.25">
      <c r="A1063" s="5">
        <v>45470</v>
      </c>
      <c r="B1063" s="1" t="s">
        <v>12</v>
      </c>
      <c r="C1063" s="1" t="s">
        <v>19</v>
      </c>
      <c r="D1063" s="1" t="s">
        <v>29</v>
      </c>
      <c r="E1063" s="10">
        <v>6</v>
      </c>
      <c r="F1063" s="10">
        <v>495</v>
      </c>
      <c r="G1063" s="1" t="s">
        <v>35</v>
      </c>
      <c r="H1063" s="10">
        <f t="shared" si="32"/>
        <v>2970</v>
      </c>
      <c r="I1063" s="7">
        <v>2278.2930772342038</v>
      </c>
      <c r="J1063" s="7">
        <f t="shared" si="33"/>
        <v>691.70692276579621</v>
      </c>
      <c r="K1063" s="1">
        <f>IF(B1063="North",28.6,
IF(B1063="South",13,
IF(B1063="East",22.6,
IF(B1063="West",19,
23.5))))</f>
        <v>22.6</v>
      </c>
      <c r="L1063" s="1">
        <f>IF(B1063="North",77.2,
IF(B1063="South",80.2,
IF(B1063="East",88.4,
IF(B1063="West",72.8,
78.9))))</f>
        <v>88.4</v>
      </c>
    </row>
    <row r="1064" spans="1:12" x14ac:dyDescent="0.25">
      <c r="A1064" s="5">
        <v>45416</v>
      </c>
      <c r="B1064" s="1" t="s">
        <v>12</v>
      </c>
      <c r="C1064" s="1" t="s">
        <v>23</v>
      </c>
      <c r="D1064" s="1" t="s">
        <v>32</v>
      </c>
      <c r="E1064" s="10">
        <v>1</v>
      </c>
      <c r="F1064" s="10">
        <v>889</v>
      </c>
      <c r="G1064" s="1" t="s">
        <v>34</v>
      </c>
      <c r="H1064" s="10">
        <f t="shared" si="32"/>
        <v>889</v>
      </c>
      <c r="I1064" s="7">
        <v>673.67109557431309</v>
      </c>
      <c r="J1064" s="7">
        <f t="shared" si="33"/>
        <v>215.32890442568691</v>
      </c>
      <c r="K1064" s="1">
        <f>IF(B1064="North",28.6,
IF(B1064="South",13,
IF(B1064="East",22.6,
IF(B1064="West",19,
23.5))))</f>
        <v>22.6</v>
      </c>
      <c r="L1064" s="1">
        <f>IF(B1064="North",77.2,
IF(B1064="South",80.2,
IF(B1064="East",88.4,
IF(B1064="West",72.8,
78.9))))</f>
        <v>88.4</v>
      </c>
    </row>
    <row r="1065" spans="1:12" x14ac:dyDescent="0.25">
      <c r="A1065" s="5">
        <v>45644</v>
      </c>
      <c r="B1065" s="1" t="s">
        <v>11</v>
      </c>
      <c r="C1065" s="1" t="s">
        <v>21</v>
      </c>
      <c r="D1065" s="1" t="s">
        <v>30</v>
      </c>
      <c r="E1065" s="10">
        <v>7</v>
      </c>
      <c r="F1065" s="10">
        <v>1527</v>
      </c>
      <c r="G1065" s="1" t="s">
        <v>35</v>
      </c>
      <c r="H1065" s="10">
        <f t="shared" si="32"/>
        <v>10689</v>
      </c>
      <c r="I1065" s="7">
        <v>7224.2695719622479</v>
      </c>
      <c r="J1065" s="7">
        <f t="shared" si="33"/>
        <v>3464.7304280377521</v>
      </c>
      <c r="K1065" s="1">
        <f>IF(B1065="North",28.6,
IF(B1065="South",13,
IF(B1065="East",22.6,
IF(B1065="West",19,
23.5))))</f>
        <v>19</v>
      </c>
      <c r="L1065" s="1">
        <f>IF(B1065="North",77.2,
IF(B1065="South",80.2,
IF(B1065="East",88.4,
IF(B1065="West",72.8,
78.9))))</f>
        <v>72.8</v>
      </c>
    </row>
    <row r="1066" spans="1:12" x14ac:dyDescent="0.25">
      <c r="A1066" s="5">
        <v>45314</v>
      </c>
      <c r="B1066" s="1" t="s">
        <v>36</v>
      </c>
      <c r="C1066" s="1" t="s">
        <v>22</v>
      </c>
      <c r="D1066" s="1" t="s">
        <v>31</v>
      </c>
      <c r="E1066" s="10">
        <v>16</v>
      </c>
      <c r="F1066" s="10">
        <v>1205</v>
      </c>
      <c r="G1066" s="1" t="s">
        <v>35</v>
      </c>
      <c r="H1066" s="10">
        <f t="shared" si="32"/>
        <v>19280</v>
      </c>
      <c r="I1066" s="7">
        <v>12462.24999248705</v>
      </c>
      <c r="J1066" s="7">
        <f t="shared" si="33"/>
        <v>6817.7500075129501</v>
      </c>
      <c r="K1066" s="1">
        <f>IF(B1066="North",28.6,
IF(B1066="South",13,
IF(B1066="East",22.6,
IF(B1066="West",19,
23.5))))</f>
        <v>23.5</v>
      </c>
      <c r="L1066" s="1">
        <f>IF(B1066="North",77.2,
IF(B1066="South",80.2,
IF(B1066="East",88.4,
IF(B1066="West",72.8,
78.9))))</f>
        <v>78.900000000000006</v>
      </c>
    </row>
    <row r="1067" spans="1:12" x14ac:dyDescent="0.25">
      <c r="A1067" s="5">
        <v>45354</v>
      </c>
      <c r="B1067" s="1" t="s">
        <v>12</v>
      </c>
      <c r="C1067" s="1" t="s">
        <v>22</v>
      </c>
      <c r="D1067" s="1" t="s">
        <v>27</v>
      </c>
      <c r="E1067" s="10">
        <v>14</v>
      </c>
      <c r="F1067" s="10">
        <v>1764</v>
      </c>
      <c r="G1067" s="1" t="s">
        <v>35</v>
      </c>
      <c r="H1067" s="10">
        <f t="shared" si="32"/>
        <v>24696</v>
      </c>
      <c r="I1067" s="7">
        <v>16347.872598423801</v>
      </c>
      <c r="J1067" s="7">
        <f t="shared" si="33"/>
        <v>8348.1274015761992</v>
      </c>
      <c r="K1067" s="1">
        <f>IF(B1067="North",28.6,
IF(B1067="South",13,
IF(B1067="East",22.6,
IF(B1067="West",19,
23.5))))</f>
        <v>22.6</v>
      </c>
      <c r="L1067" s="1">
        <f>IF(B1067="North",77.2,
IF(B1067="South",80.2,
IF(B1067="East",88.4,
IF(B1067="West",72.8,
78.9))))</f>
        <v>88.4</v>
      </c>
    </row>
    <row r="1068" spans="1:12" x14ac:dyDescent="0.25">
      <c r="A1068" s="5">
        <v>45434</v>
      </c>
      <c r="B1068" s="1" t="s">
        <v>10</v>
      </c>
      <c r="C1068" s="1" t="s">
        <v>24</v>
      </c>
      <c r="D1068" s="1" t="s">
        <v>26</v>
      </c>
      <c r="E1068" s="10">
        <v>6</v>
      </c>
      <c r="F1068" s="10">
        <v>1073.5</v>
      </c>
      <c r="G1068" s="1" t="s">
        <v>35</v>
      </c>
      <c r="H1068" s="10">
        <f t="shared" si="32"/>
        <v>6441</v>
      </c>
      <c r="I1068" s="7">
        <f>H1068*0.7</f>
        <v>4508.7</v>
      </c>
      <c r="J1068" s="7">
        <f t="shared" si="33"/>
        <v>1932.3000000000002</v>
      </c>
      <c r="K1068" s="1">
        <f>IF(B1068="North",28.6,
IF(B1068="South",13,
IF(B1068="East",22.6,
IF(B1068="West",19,
23.5))))</f>
        <v>28.6</v>
      </c>
      <c r="L1068" s="1">
        <f>IF(B1068="North",77.2,
IF(B1068="South",80.2,
IF(B1068="East",88.4,
IF(B1068="West",72.8,
78.9))))</f>
        <v>77.2</v>
      </c>
    </row>
    <row r="1069" spans="1:12" x14ac:dyDescent="0.25">
      <c r="A1069" s="5">
        <v>45444</v>
      </c>
      <c r="B1069" s="1" t="s">
        <v>12</v>
      </c>
      <c r="C1069" s="1" t="s">
        <v>18</v>
      </c>
      <c r="D1069" s="1" t="s">
        <v>25</v>
      </c>
      <c r="E1069" s="10">
        <v>5</v>
      </c>
      <c r="F1069" s="10">
        <v>1505</v>
      </c>
      <c r="G1069" s="1" t="s">
        <v>34</v>
      </c>
      <c r="H1069" s="10">
        <f t="shared" si="32"/>
        <v>7525</v>
      </c>
      <c r="I1069" s="7">
        <v>6185.8732892628514</v>
      </c>
      <c r="J1069" s="7">
        <f t="shared" si="33"/>
        <v>1339.1267107371486</v>
      </c>
      <c r="K1069" s="1">
        <f>IF(B1069="North",28.6,
IF(B1069="South",13,
IF(B1069="East",22.6,
IF(B1069="West",19,
23.5))))</f>
        <v>22.6</v>
      </c>
      <c r="L1069" s="1">
        <f>IF(B1069="North",77.2,
IF(B1069="South",80.2,
IF(B1069="East",88.4,
IF(B1069="West",72.8,
78.9))))</f>
        <v>88.4</v>
      </c>
    </row>
    <row r="1070" spans="1:12" x14ac:dyDescent="0.25">
      <c r="A1070" s="5">
        <v>45436</v>
      </c>
      <c r="B1070" s="1" t="s">
        <v>13</v>
      </c>
      <c r="C1070" s="1" t="s">
        <v>19</v>
      </c>
      <c r="D1070" s="1" t="s">
        <v>25</v>
      </c>
      <c r="E1070" s="10">
        <v>18</v>
      </c>
      <c r="F1070" s="10">
        <v>964</v>
      </c>
      <c r="G1070" s="1" t="s">
        <v>35</v>
      </c>
      <c r="H1070" s="10">
        <f t="shared" si="32"/>
        <v>17352</v>
      </c>
      <c r="I1070" s="7">
        <v>11736.111699042251</v>
      </c>
      <c r="J1070" s="7">
        <f t="shared" si="33"/>
        <v>5615.8883009577494</v>
      </c>
      <c r="K1070" s="1">
        <f>IF(B1070="North",28.6,
IF(B1070="South",13,
IF(B1070="East",22.6,
IF(B1070="West",19,
23.5))))</f>
        <v>13</v>
      </c>
      <c r="L1070" s="1">
        <f>IF(B1070="North",77.2,
IF(B1070="South",80.2,
IF(B1070="East",88.4,
IF(B1070="West",72.8,
78.9))))</f>
        <v>80.2</v>
      </c>
    </row>
    <row r="1071" spans="1:12" x14ac:dyDescent="0.25">
      <c r="A1071" s="5">
        <v>45516</v>
      </c>
      <c r="B1071" s="1" t="s">
        <v>12</v>
      </c>
      <c r="C1071" s="1" t="s">
        <v>21</v>
      </c>
      <c r="D1071" s="1" t="s">
        <v>29</v>
      </c>
      <c r="E1071" s="10">
        <v>15</v>
      </c>
      <c r="F1071" s="10">
        <v>1915</v>
      </c>
      <c r="G1071" s="1" t="s">
        <v>35</v>
      </c>
      <c r="H1071" s="10">
        <f t="shared" si="32"/>
        <v>28725</v>
      </c>
      <c r="I1071" s="7">
        <v>23255.297538347018</v>
      </c>
      <c r="J1071" s="7">
        <f t="shared" si="33"/>
        <v>5469.7024616529816</v>
      </c>
      <c r="K1071" s="1">
        <f>IF(B1071="North",28.6,
IF(B1071="South",13,
IF(B1071="East",22.6,
IF(B1071="West",19,
23.5))))</f>
        <v>22.6</v>
      </c>
      <c r="L1071" s="1">
        <f>IF(B1071="North",77.2,
IF(B1071="South",80.2,
IF(B1071="East",88.4,
IF(B1071="West",72.8,
78.9))))</f>
        <v>88.4</v>
      </c>
    </row>
    <row r="1072" spans="1:12" x14ac:dyDescent="0.25">
      <c r="A1072" s="5">
        <v>45600</v>
      </c>
      <c r="B1072" s="1" t="s">
        <v>13</v>
      </c>
      <c r="C1072" s="1" t="s">
        <v>22</v>
      </c>
      <c r="D1072" s="1" t="s">
        <v>30</v>
      </c>
      <c r="E1072" s="10">
        <v>6</v>
      </c>
      <c r="F1072" s="10">
        <v>1393</v>
      </c>
      <c r="G1072" s="1" t="s">
        <v>35</v>
      </c>
      <c r="H1072" s="10">
        <f t="shared" si="32"/>
        <v>8358</v>
      </c>
      <c r="I1072" s="7">
        <v>6247.2167384831046</v>
      </c>
      <c r="J1072" s="7">
        <f t="shared" si="33"/>
        <v>2110.7832615168954</v>
      </c>
      <c r="K1072" s="1">
        <f>IF(B1072="North",28.6,
IF(B1072="South",13,
IF(B1072="East",22.6,
IF(B1072="West",19,
23.5))))</f>
        <v>13</v>
      </c>
      <c r="L1072" s="1">
        <f>IF(B1072="North",77.2,
IF(B1072="South",80.2,
IF(B1072="East",88.4,
IF(B1072="West",72.8,
78.9))))</f>
        <v>80.2</v>
      </c>
    </row>
    <row r="1073" spans="1:12" x14ac:dyDescent="0.25">
      <c r="A1073" s="5">
        <v>45395</v>
      </c>
      <c r="B1073" s="1" t="s">
        <v>11</v>
      </c>
      <c r="C1073" s="1" t="s">
        <v>22</v>
      </c>
      <c r="D1073" s="1" t="s">
        <v>27</v>
      </c>
      <c r="E1073" s="10">
        <v>19</v>
      </c>
      <c r="F1073" s="10">
        <v>1415</v>
      </c>
      <c r="G1073" s="1" t="s">
        <v>35</v>
      </c>
      <c r="H1073" s="10">
        <f t="shared" si="32"/>
        <v>26885</v>
      </c>
      <c r="I1073" s="7">
        <v>23272.523163663798</v>
      </c>
      <c r="J1073" s="7">
        <f t="shared" si="33"/>
        <v>3612.4768363362018</v>
      </c>
      <c r="K1073" s="1">
        <f>IF(B1073="North",28.6,
IF(B1073="South",13,
IF(B1073="East",22.6,
IF(B1073="West",19,
23.5))))</f>
        <v>19</v>
      </c>
      <c r="L1073" s="1">
        <f>IF(B1073="North",77.2,
IF(B1073="South",80.2,
IF(B1073="East",88.4,
IF(B1073="West",72.8,
78.9))))</f>
        <v>72.8</v>
      </c>
    </row>
    <row r="1074" spans="1:12" x14ac:dyDescent="0.25">
      <c r="A1074" s="5">
        <v>45395</v>
      </c>
      <c r="B1074" s="1" t="s">
        <v>10</v>
      </c>
      <c r="C1074" s="1" t="s">
        <v>20</v>
      </c>
      <c r="D1074" s="1" t="s">
        <v>32</v>
      </c>
      <c r="E1074" s="10">
        <v>1</v>
      </c>
      <c r="F1074" s="10">
        <v>1576</v>
      </c>
      <c r="G1074" s="1" t="s">
        <v>33</v>
      </c>
      <c r="H1074" s="10">
        <f t="shared" si="32"/>
        <v>1576</v>
      </c>
      <c r="I1074" s="7">
        <v>1055.7220043883351</v>
      </c>
      <c r="J1074" s="7">
        <f t="shared" si="33"/>
        <v>520.27799561166489</v>
      </c>
      <c r="K1074" s="1">
        <f>IF(B1074="North",28.6,
IF(B1074="South",13,
IF(B1074="East",22.6,
IF(B1074="West",19,
23.5))))</f>
        <v>28.6</v>
      </c>
      <c r="L1074" s="1">
        <f>IF(B1074="North",77.2,
IF(B1074="South",80.2,
IF(B1074="East",88.4,
IF(B1074="West",72.8,
78.9))))</f>
        <v>77.2</v>
      </c>
    </row>
    <row r="1075" spans="1:12" x14ac:dyDescent="0.25">
      <c r="A1075" s="5">
        <v>45330</v>
      </c>
      <c r="B1075" s="1" t="s">
        <v>11</v>
      </c>
      <c r="C1075" s="1" t="s">
        <v>18</v>
      </c>
      <c r="D1075" s="1" t="s">
        <v>27</v>
      </c>
      <c r="E1075" s="10">
        <v>1</v>
      </c>
      <c r="F1075" s="10">
        <v>1838</v>
      </c>
      <c r="G1075" s="1" t="s">
        <v>34</v>
      </c>
      <c r="H1075" s="10">
        <f t="shared" si="32"/>
        <v>1838</v>
      </c>
      <c r="I1075" s="7">
        <v>1351.402374795349</v>
      </c>
      <c r="J1075" s="7">
        <f t="shared" si="33"/>
        <v>486.59762520465097</v>
      </c>
      <c r="K1075" s="1">
        <f>IF(B1075="North",28.6,
IF(B1075="South",13,
IF(B1075="East",22.6,
IF(B1075="West",19,
23.5))))</f>
        <v>19</v>
      </c>
      <c r="L1075" s="1">
        <f>IF(B1075="North",77.2,
IF(B1075="South",80.2,
IF(B1075="East",88.4,
IF(B1075="West",72.8,
78.9))))</f>
        <v>72.8</v>
      </c>
    </row>
    <row r="1076" spans="1:12" x14ac:dyDescent="0.25">
      <c r="A1076" s="5">
        <v>45489</v>
      </c>
      <c r="B1076" s="1" t="s">
        <v>13</v>
      </c>
      <c r="C1076" s="1" t="s">
        <v>20</v>
      </c>
      <c r="D1076" s="1" t="s">
        <v>30</v>
      </c>
      <c r="E1076" s="10">
        <v>13</v>
      </c>
      <c r="F1076" s="10">
        <v>123</v>
      </c>
      <c r="G1076" s="1" t="s">
        <v>33</v>
      </c>
      <c r="H1076" s="10">
        <f t="shared" si="32"/>
        <v>1599</v>
      </c>
      <c r="I1076" s="7">
        <v>1005.7700888093721</v>
      </c>
      <c r="J1076" s="7">
        <f t="shared" si="33"/>
        <v>593.22991119062794</v>
      </c>
      <c r="K1076" s="1">
        <f>IF(B1076="North",28.6,
IF(B1076="South",13,
IF(B1076="East",22.6,
IF(B1076="West",19,
23.5))))</f>
        <v>13</v>
      </c>
      <c r="L1076" s="1">
        <f>IF(B1076="North",77.2,
IF(B1076="South",80.2,
IF(B1076="East",88.4,
IF(B1076="West",72.8,
78.9))))</f>
        <v>80.2</v>
      </c>
    </row>
    <row r="1077" spans="1:12" x14ac:dyDescent="0.25">
      <c r="A1077" s="5">
        <v>45425</v>
      </c>
      <c r="B1077" s="1" t="s">
        <v>13</v>
      </c>
      <c r="C1077" s="1" t="s">
        <v>23</v>
      </c>
      <c r="D1077" s="1" t="s">
        <v>32</v>
      </c>
      <c r="E1077" s="10">
        <v>3</v>
      </c>
      <c r="F1077" s="10">
        <v>1055</v>
      </c>
      <c r="G1077" s="1" t="s">
        <v>34</v>
      </c>
      <c r="H1077" s="10">
        <f t="shared" si="32"/>
        <v>3165</v>
      </c>
      <c r="I1077" s="7">
        <v>2217.2279089198942</v>
      </c>
      <c r="J1077" s="7">
        <f t="shared" si="33"/>
        <v>947.77209108010584</v>
      </c>
      <c r="K1077" s="1">
        <f>IF(B1077="North",28.6,
IF(B1077="South",13,
IF(B1077="East",22.6,
IF(B1077="West",19,
23.5))))</f>
        <v>13</v>
      </c>
      <c r="L1077" s="1">
        <f>IF(B1077="North",77.2,
IF(B1077="South",80.2,
IF(B1077="East",88.4,
IF(B1077="West",72.8,
78.9))))</f>
        <v>80.2</v>
      </c>
    </row>
    <row r="1078" spans="1:12" x14ac:dyDescent="0.25">
      <c r="A1078" s="5">
        <v>45358</v>
      </c>
      <c r="B1078" s="1" t="s">
        <v>13</v>
      </c>
      <c r="C1078" s="1" t="s">
        <v>22</v>
      </c>
      <c r="D1078" s="1" t="s">
        <v>27</v>
      </c>
      <c r="E1078" s="10">
        <v>10</v>
      </c>
      <c r="F1078" s="10">
        <v>1986</v>
      </c>
      <c r="G1078" s="1" t="s">
        <v>35</v>
      </c>
      <c r="H1078" s="10">
        <f t="shared" si="32"/>
        <v>19860</v>
      </c>
      <c r="I1078" s="7">
        <v>14935.99368554387</v>
      </c>
      <c r="J1078" s="7">
        <f t="shared" si="33"/>
        <v>4924.00631445613</v>
      </c>
      <c r="K1078" s="1">
        <f>IF(B1078="North",28.6,
IF(B1078="South",13,
IF(B1078="East",22.6,
IF(B1078="West",19,
23.5))))</f>
        <v>13</v>
      </c>
      <c r="L1078" s="1">
        <f>IF(B1078="North",77.2,
IF(B1078="South",80.2,
IF(B1078="East",88.4,
IF(B1078="West",72.8,
78.9))))</f>
        <v>80.2</v>
      </c>
    </row>
    <row r="1079" spans="1:12" x14ac:dyDescent="0.25">
      <c r="A1079" s="5">
        <v>45470</v>
      </c>
      <c r="B1079" s="1" t="s">
        <v>10</v>
      </c>
      <c r="C1079" s="1" t="s">
        <v>24</v>
      </c>
      <c r="D1079" s="1" t="s">
        <v>32</v>
      </c>
      <c r="E1079" s="10">
        <v>3</v>
      </c>
      <c r="F1079" s="10">
        <v>410</v>
      </c>
      <c r="G1079" s="1" t="s">
        <v>35</v>
      </c>
      <c r="H1079" s="10">
        <f t="shared" si="32"/>
        <v>1230</v>
      </c>
      <c r="I1079" s="7">
        <v>1008.381139089907</v>
      </c>
      <c r="J1079" s="7">
        <f t="shared" si="33"/>
        <v>221.61886091009296</v>
      </c>
      <c r="K1079" s="1">
        <f>IF(B1079="North",28.6,
IF(B1079="South",13,
IF(B1079="East",22.6,
IF(B1079="West",19,
23.5))))</f>
        <v>28.6</v>
      </c>
      <c r="L1079" s="1">
        <f>IF(B1079="North",77.2,
IF(B1079="South",80.2,
IF(B1079="East",88.4,
IF(B1079="West",72.8,
78.9))))</f>
        <v>77.2</v>
      </c>
    </row>
    <row r="1080" spans="1:12" x14ac:dyDescent="0.25">
      <c r="A1080" s="5">
        <v>45333</v>
      </c>
      <c r="B1080" s="1" t="s">
        <v>12</v>
      </c>
      <c r="C1080" s="1" t="s">
        <v>17</v>
      </c>
      <c r="D1080" s="1" t="s">
        <v>29</v>
      </c>
      <c r="E1080" s="10">
        <v>9</v>
      </c>
      <c r="F1080" s="10">
        <v>1584</v>
      </c>
      <c r="G1080" s="1" t="s">
        <v>33</v>
      </c>
      <c r="H1080" s="10">
        <f t="shared" si="32"/>
        <v>14256</v>
      </c>
      <c r="I1080" s="7">
        <v>9400.7362270667563</v>
      </c>
      <c r="J1080" s="7">
        <f t="shared" si="33"/>
        <v>4855.2637729332437</v>
      </c>
      <c r="K1080" s="1">
        <f>IF(B1080="North",28.6,
IF(B1080="South",13,
IF(B1080="East",22.6,
IF(B1080="West",19,
23.5))))</f>
        <v>22.6</v>
      </c>
      <c r="L1080" s="1">
        <f>IF(B1080="North",77.2,
IF(B1080="South",80.2,
IF(B1080="East",88.4,
IF(B1080="West",72.8,
78.9))))</f>
        <v>88.4</v>
      </c>
    </row>
    <row r="1081" spans="1:12" x14ac:dyDescent="0.25">
      <c r="A1081" s="5">
        <v>45306</v>
      </c>
      <c r="B1081" s="1" t="s">
        <v>11</v>
      </c>
      <c r="C1081" s="1" t="s">
        <v>17</v>
      </c>
      <c r="D1081" s="1" t="s">
        <v>29</v>
      </c>
      <c r="E1081" s="10">
        <v>8</v>
      </c>
      <c r="F1081" s="10">
        <v>1331</v>
      </c>
      <c r="G1081" s="1" t="s">
        <v>33</v>
      </c>
      <c r="H1081" s="10">
        <f t="shared" si="32"/>
        <v>10648</v>
      </c>
      <c r="I1081" s="7">
        <v>7085.4734949816147</v>
      </c>
      <c r="J1081" s="7">
        <f t="shared" si="33"/>
        <v>3562.5265050183853</v>
      </c>
      <c r="K1081" s="1">
        <f>IF(B1081="North",28.6,
IF(B1081="South",13,
IF(B1081="East",22.6,
IF(B1081="West",19,
23.5))))</f>
        <v>19</v>
      </c>
      <c r="L1081" s="1">
        <f>IF(B1081="North",77.2,
IF(B1081="South",80.2,
IF(B1081="East",88.4,
IF(B1081="West",72.8,
78.9))))</f>
        <v>72.8</v>
      </c>
    </row>
    <row r="1082" spans="1:12" x14ac:dyDescent="0.25">
      <c r="A1082" s="5">
        <v>45402</v>
      </c>
      <c r="B1082" s="1" t="s">
        <v>11</v>
      </c>
      <c r="C1082" s="1" t="s">
        <v>21</v>
      </c>
      <c r="D1082" s="1" t="s">
        <v>30</v>
      </c>
      <c r="E1082" s="10">
        <v>3</v>
      </c>
      <c r="F1082" s="10">
        <v>1915</v>
      </c>
      <c r="G1082" s="1" t="s">
        <v>35</v>
      </c>
      <c r="H1082" s="10">
        <f t="shared" si="32"/>
        <v>5745</v>
      </c>
      <c r="I1082" s="7">
        <v>4535.5244081380288</v>
      </c>
      <c r="J1082" s="7">
        <f t="shared" si="33"/>
        <v>1209.4755918619712</v>
      </c>
      <c r="K1082" s="1">
        <f>IF(B1082="North",28.6,
IF(B1082="South",13,
IF(B1082="East",22.6,
IF(B1082="West",19,
23.5))))</f>
        <v>19</v>
      </c>
      <c r="L1082" s="1">
        <f>IF(B1082="North",77.2,
IF(B1082="South",80.2,
IF(B1082="East",88.4,
IF(B1082="West",72.8,
78.9))))</f>
        <v>72.8</v>
      </c>
    </row>
    <row r="1083" spans="1:12" x14ac:dyDescent="0.25">
      <c r="A1083" s="5">
        <v>45448</v>
      </c>
      <c r="B1083" s="1" t="s">
        <v>12</v>
      </c>
      <c r="C1083" s="1" t="s">
        <v>22</v>
      </c>
      <c r="D1083" s="1" t="s">
        <v>30</v>
      </c>
      <c r="E1083" s="10">
        <v>13</v>
      </c>
      <c r="F1083" s="10">
        <v>1840</v>
      </c>
      <c r="G1083" s="1" t="s">
        <v>35</v>
      </c>
      <c r="H1083" s="10">
        <f t="shared" si="32"/>
        <v>23920</v>
      </c>
      <c r="I1083" s="7">
        <v>17096.517054068139</v>
      </c>
      <c r="J1083" s="7">
        <f t="shared" si="33"/>
        <v>6823.4829459318607</v>
      </c>
      <c r="K1083" s="1">
        <f>IF(B1083="North",28.6,
IF(B1083="South",13,
IF(B1083="East",22.6,
IF(B1083="West",19,
23.5))))</f>
        <v>22.6</v>
      </c>
      <c r="L1083" s="1">
        <f>IF(B1083="North",77.2,
IF(B1083="South",80.2,
IF(B1083="East",88.4,
IF(B1083="West",72.8,
78.9))))</f>
        <v>88.4</v>
      </c>
    </row>
    <row r="1084" spans="1:12" x14ac:dyDescent="0.25">
      <c r="A1084" s="5">
        <v>45580</v>
      </c>
      <c r="B1084" s="1" t="s">
        <v>11</v>
      </c>
      <c r="C1084" s="1" t="s">
        <v>22</v>
      </c>
      <c r="D1084" s="1" t="s">
        <v>32</v>
      </c>
      <c r="E1084" s="10">
        <v>6</v>
      </c>
      <c r="F1084" s="10">
        <v>763</v>
      </c>
      <c r="G1084" s="1" t="s">
        <v>35</v>
      </c>
      <c r="H1084" s="10">
        <f t="shared" si="32"/>
        <v>4578</v>
      </c>
      <c r="I1084" s="7">
        <v>3408.9090906569072</v>
      </c>
      <c r="J1084" s="7">
        <f t="shared" si="33"/>
        <v>1169.0909093430928</v>
      </c>
      <c r="K1084" s="1">
        <f>IF(B1084="North",28.6,
IF(B1084="South",13,
IF(B1084="East",22.6,
IF(B1084="West",19,
23.5))))</f>
        <v>19</v>
      </c>
      <c r="L1084" s="1">
        <f>IF(B1084="North",77.2,
IF(B1084="South",80.2,
IF(B1084="East",88.4,
IF(B1084="West",72.8,
78.9))))</f>
        <v>72.8</v>
      </c>
    </row>
    <row r="1085" spans="1:12" x14ac:dyDescent="0.25">
      <c r="A1085" s="5">
        <v>45522</v>
      </c>
      <c r="B1085" s="1" t="s">
        <v>10</v>
      </c>
      <c r="C1085" s="1" t="s">
        <v>23</v>
      </c>
      <c r="D1085" s="1" t="s">
        <v>28</v>
      </c>
      <c r="E1085" s="10">
        <v>13</v>
      </c>
      <c r="F1085" s="10">
        <v>537</v>
      </c>
      <c r="G1085" s="1" t="s">
        <v>34</v>
      </c>
      <c r="H1085" s="10">
        <f t="shared" si="32"/>
        <v>6981</v>
      </c>
      <c r="I1085" s="7">
        <v>5939.7172556833166</v>
      </c>
      <c r="J1085" s="7">
        <f t="shared" si="33"/>
        <v>1041.2827443166834</v>
      </c>
      <c r="K1085" s="1">
        <f>IF(B1085="North",28.6,
IF(B1085="South",13,
IF(B1085="East",22.6,
IF(B1085="West",19,
23.5))))</f>
        <v>28.6</v>
      </c>
      <c r="L1085" s="1">
        <f>IF(B1085="North",77.2,
IF(B1085="South",80.2,
IF(B1085="East",88.4,
IF(B1085="West",72.8,
78.9))))</f>
        <v>77.2</v>
      </c>
    </row>
    <row r="1086" spans="1:12" x14ac:dyDescent="0.25">
      <c r="A1086" s="5">
        <v>45448</v>
      </c>
      <c r="B1086" s="1" t="s">
        <v>11</v>
      </c>
      <c r="C1086" s="1" t="s">
        <v>22</v>
      </c>
      <c r="D1086" s="1" t="s">
        <v>31</v>
      </c>
      <c r="E1086" s="10">
        <v>12</v>
      </c>
      <c r="F1086" s="10">
        <v>1661</v>
      </c>
      <c r="G1086" s="1" t="s">
        <v>35</v>
      </c>
      <c r="H1086" s="10">
        <f t="shared" si="32"/>
        <v>19932</v>
      </c>
      <c r="I1086" s="7">
        <v>14943.518507045441</v>
      </c>
      <c r="J1086" s="7">
        <f t="shared" si="33"/>
        <v>4988.4814929545591</v>
      </c>
      <c r="K1086" s="1">
        <f>IF(B1086="North",28.6,
IF(B1086="South",13,
IF(B1086="East",22.6,
IF(B1086="West",19,
23.5))))</f>
        <v>19</v>
      </c>
      <c r="L1086" s="1">
        <f>IF(B1086="North",77.2,
IF(B1086="South",80.2,
IF(B1086="East",88.4,
IF(B1086="West",72.8,
78.9))))</f>
        <v>72.8</v>
      </c>
    </row>
    <row r="1087" spans="1:12" x14ac:dyDescent="0.25">
      <c r="A1087" s="5">
        <v>45329</v>
      </c>
      <c r="B1087" s="1" t="s">
        <v>13</v>
      </c>
      <c r="C1087" s="1" t="s">
        <v>24</v>
      </c>
      <c r="D1087" s="1" t="s">
        <v>25</v>
      </c>
      <c r="E1087" s="10">
        <v>13</v>
      </c>
      <c r="F1087" s="10">
        <v>805</v>
      </c>
      <c r="G1087" s="1" t="s">
        <v>35</v>
      </c>
      <c r="H1087" s="10">
        <f t="shared" si="32"/>
        <v>10465</v>
      </c>
      <c r="I1087" s="7">
        <v>8327.5218054224933</v>
      </c>
      <c r="J1087" s="7">
        <f t="shared" si="33"/>
        <v>2137.4781945775067</v>
      </c>
      <c r="K1087" s="1">
        <f>IF(B1087="North",28.6,
IF(B1087="South",13,
IF(B1087="East",22.6,
IF(B1087="West",19,
23.5))))</f>
        <v>13</v>
      </c>
      <c r="L1087" s="1">
        <f>IF(B1087="North",77.2,
IF(B1087="South",80.2,
IF(B1087="East",88.4,
IF(B1087="West",72.8,
78.9))))</f>
        <v>80.2</v>
      </c>
    </row>
    <row r="1088" spans="1:12" x14ac:dyDescent="0.25">
      <c r="A1088" s="5">
        <v>45388</v>
      </c>
      <c r="B1088" s="1" t="s">
        <v>12</v>
      </c>
      <c r="C1088" s="1" t="s">
        <v>20</v>
      </c>
      <c r="D1088" s="1" t="s">
        <v>27</v>
      </c>
      <c r="E1088" s="10">
        <v>2</v>
      </c>
      <c r="F1088" s="10">
        <v>1459</v>
      </c>
      <c r="G1088" s="1" t="s">
        <v>33</v>
      </c>
      <c r="H1088" s="10">
        <f t="shared" si="32"/>
        <v>2918</v>
      </c>
      <c r="I1088" s="7">
        <v>2325.7408714691401</v>
      </c>
      <c r="J1088" s="7">
        <f t="shared" si="33"/>
        <v>592.25912853085993</v>
      </c>
      <c r="K1088" s="1">
        <f>IF(B1088="North",28.6,
IF(B1088="South",13,
IF(B1088="East",22.6,
IF(B1088="West",19,
23.5))))</f>
        <v>22.6</v>
      </c>
      <c r="L1088" s="1">
        <f>IF(B1088="North",77.2,
IF(B1088="South",80.2,
IF(B1088="East",88.4,
IF(B1088="West",72.8,
78.9))))</f>
        <v>88.4</v>
      </c>
    </row>
    <row r="1089" spans="1:12" x14ac:dyDescent="0.25">
      <c r="A1089" s="5">
        <v>45580</v>
      </c>
      <c r="B1089" s="1" t="s">
        <v>10</v>
      </c>
      <c r="C1089" s="1" t="s">
        <v>22</v>
      </c>
      <c r="D1089" s="1" t="s">
        <v>27</v>
      </c>
      <c r="E1089" s="10">
        <v>16</v>
      </c>
      <c r="F1089" s="10">
        <v>521</v>
      </c>
      <c r="G1089" s="1" t="s">
        <v>35</v>
      </c>
      <c r="H1089" s="10">
        <f t="shared" si="32"/>
        <v>8336</v>
      </c>
      <c r="I1089" s="7">
        <v>7011.2727469444108</v>
      </c>
      <c r="J1089" s="7">
        <f t="shared" si="33"/>
        <v>1324.7272530555892</v>
      </c>
      <c r="K1089" s="1">
        <f>IF(B1089="North",28.6,
IF(B1089="South",13,
IF(B1089="East",22.6,
IF(B1089="West",19,
23.5))))</f>
        <v>28.6</v>
      </c>
      <c r="L1089" s="1">
        <f>IF(B1089="North",77.2,
IF(B1089="South",80.2,
IF(B1089="East",88.4,
IF(B1089="West",72.8,
78.9))))</f>
        <v>77.2</v>
      </c>
    </row>
    <row r="1090" spans="1:12" x14ac:dyDescent="0.25">
      <c r="A1090" s="5">
        <v>45545</v>
      </c>
      <c r="B1090" s="1" t="s">
        <v>12</v>
      </c>
      <c r="C1090" s="1" t="s">
        <v>22</v>
      </c>
      <c r="D1090" s="1" t="s">
        <v>28</v>
      </c>
      <c r="E1090" s="10">
        <v>6</v>
      </c>
      <c r="F1090" s="10">
        <v>1873</v>
      </c>
      <c r="G1090" s="1" t="s">
        <v>35</v>
      </c>
      <c r="H1090" s="10">
        <f t="shared" si="32"/>
        <v>11238</v>
      </c>
      <c r="I1090" s="7">
        <v>8894.2234714986389</v>
      </c>
      <c r="J1090" s="7">
        <f t="shared" si="33"/>
        <v>2343.7765285013611</v>
      </c>
      <c r="K1090" s="1">
        <f>IF(B1090="North",28.6,
IF(B1090="South",13,
IF(B1090="East",22.6,
IF(B1090="West",19,
23.5))))</f>
        <v>22.6</v>
      </c>
      <c r="L1090" s="1">
        <f>IF(B1090="North",77.2,
IF(B1090="South",80.2,
IF(B1090="East",88.4,
IF(B1090="West",72.8,
78.9))))</f>
        <v>88.4</v>
      </c>
    </row>
    <row r="1091" spans="1:12" x14ac:dyDescent="0.25">
      <c r="A1091" s="5">
        <v>45487</v>
      </c>
      <c r="B1091" s="1" t="s">
        <v>10</v>
      </c>
      <c r="C1091" s="1" t="s">
        <v>23</v>
      </c>
      <c r="D1091" s="1" t="s">
        <v>28</v>
      </c>
      <c r="E1091" s="10">
        <v>19</v>
      </c>
      <c r="F1091" s="10">
        <v>420</v>
      </c>
      <c r="G1091" s="1" t="s">
        <v>34</v>
      </c>
      <c r="H1091" s="10">
        <f t="shared" ref="H1091:H1154" si="34">E1091*F1091</f>
        <v>7980</v>
      </c>
      <c r="I1091" s="7">
        <v>4943.1547226153461</v>
      </c>
      <c r="J1091" s="7">
        <f t="shared" ref="J1091:J1154" si="35">H1091-I1091</f>
        <v>3036.8452773846539</v>
      </c>
      <c r="K1091" s="1">
        <f>IF(B1091="North",28.6,
IF(B1091="South",13,
IF(B1091="East",22.6,
IF(B1091="West",19,
23.5))))</f>
        <v>28.6</v>
      </c>
      <c r="L1091" s="1">
        <f>IF(B1091="North",77.2,
IF(B1091="South",80.2,
IF(B1091="East",88.4,
IF(B1091="West",72.8,
78.9))))</f>
        <v>77.2</v>
      </c>
    </row>
    <row r="1092" spans="1:12" x14ac:dyDescent="0.25">
      <c r="A1092" s="5">
        <v>45377</v>
      </c>
      <c r="B1092" s="1" t="s">
        <v>13</v>
      </c>
      <c r="C1092" s="1" t="s">
        <v>18</v>
      </c>
      <c r="D1092" s="1" t="s">
        <v>28</v>
      </c>
      <c r="E1092" s="10">
        <v>13</v>
      </c>
      <c r="F1092" s="10">
        <v>1620</v>
      </c>
      <c r="G1092" s="1" t="s">
        <v>34</v>
      </c>
      <c r="H1092" s="10">
        <f t="shared" si="34"/>
        <v>21060</v>
      </c>
      <c r="I1092" s="7">
        <v>14797.848904615459</v>
      </c>
      <c r="J1092" s="7">
        <f t="shared" si="35"/>
        <v>6262.1510953845409</v>
      </c>
      <c r="K1092" s="1">
        <f>IF(B1092="North",28.6,
IF(B1092="South",13,
IF(B1092="East",22.6,
IF(B1092="West",19,
23.5))))</f>
        <v>13</v>
      </c>
      <c r="L1092" s="1">
        <f>IF(B1092="North",77.2,
IF(B1092="South",80.2,
IF(B1092="East",88.4,
IF(B1092="West",72.8,
78.9))))</f>
        <v>80.2</v>
      </c>
    </row>
    <row r="1093" spans="1:12" x14ac:dyDescent="0.25">
      <c r="A1093" s="5">
        <v>45613</v>
      </c>
      <c r="B1093" s="1" t="s">
        <v>12</v>
      </c>
      <c r="C1093" s="1" t="s">
        <v>19</v>
      </c>
      <c r="D1093" s="1" t="s">
        <v>26</v>
      </c>
      <c r="E1093" s="10">
        <v>17</v>
      </c>
      <c r="F1093" s="10">
        <v>686</v>
      </c>
      <c r="G1093" s="1" t="s">
        <v>35</v>
      </c>
      <c r="H1093" s="10">
        <f t="shared" si="34"/>
        <v>11662</v>
      </c>
      <c r="I1093" s="7">
        <v>10458.421599625321</v>
      </c>
      <c r="J1093" s="7">
        <f t="shared" si="35"/>
        <v>1203.5784003746794</v>
      </c>
      <c r="K1093" s="1">
        <f>IF(B1093="North",28.6,
IF(B1093="South",13,
IF(B1093="East",22.6,
IF(B1093="West",19,
23.5))))</f>
        <v>22.6</v>
      </c>
      <c r="L1093" s="1">
        <f>IF(B1093="North",77.2,
IF(B1093="South",80.2,
IF(B1093="East",88.4,
IF(B1093="West",72.8,
78.9))))</f>
        <v>88.4</v>
      </c>
    </row>
    <row r="1094" spans="1:12" x14ac:dyDescent="0.25">
      <c r="A1094" s="5">
        <v>45301</v>
      </c>
      <c r="B1094" s="1" t="s">
        <v>11</v>
      </c>
      <c r="C1094" s="1" t="s">
        <v>18</v>
      </c>
      <c r="D1094" s="1" t="s">
        <v>26</v>
      </c>
      <c r="E1094" s="10">
        <v>9</v>
      </c>
      <c r="F1094" s="10">
        <v>1046</v>
      </c>
      <c r="G1094" s="1" t="s">
        <v>34</v>
      </c>
      <c r="H1094" s="10">
        <f t="shared" si="34"/>
        <v>9414</v>
      </c>
      <c r="I1094" s="7">
        <v>6203.3843576513236</v>
      </c>
      <c r="J1094" s="7">
        <f t="shared" si="35"/>
        <v>3210.6156423486764</v>
      </c>
      <c r="K1094" s="1">
        <f>IF(B1094="North",28.6,
IF(B1094="South",13,
IF(B1094="East",22.6,
IF(B1094="West",19,
23.5))))</f>
        <v>19</v>
      </c>
      <c r="L1094" s="1">
        <f>IF(B1094="North",77.2,
IF(B1094="South",80.2,
IF(B1094="East",88.4,
IF(B1094="West",72.8,
78.9))))</f>
        <v>72.8</v>
      </c>
    </row>
    <row r="1095" spans="1:12" x14ac:dyDescent="0.25">
      <c r="A1095" s="5">
        <v>45296</v>
      </c>
      <c r="B1095" s="1" t="s">
        <v>10</v>
      </c>
      <c r="C1095" s="1" t="s">
        <v>23</v>
      </c>
      <c r="D1095" s="1" t="s">
        <v>32</v>
      </c>
      <c r="E1095" s="10">
        <v>17</v>
      </c>
      <c r="F1095" s="10">
        <v>1286</v>
      </c>
      <c r="G1095" s="1" t="s">
        <v>34</v>
      </c>
      <c r="H1095" s="10">
        <f t="shared" si="34"/>
        <v>21862</v>
      </c>
      <c r="I1095" s="7">
        <v>16965.321333690579</v>
      </c>
      <c r="J1095" s="7">
        <f t="shared" si="35"/>
        <v>4896.6786663094208</v>
      </c>
      <c r="K1095" s="1">
        <f>IF(B1095="North",28.6,
IF(B1095="South",13,
IF(B1095="East",22.6,
IF(B1095="West",19,
23.5))))</f>
        <v>28.6</v>
      </c>
      <c r="L1095" s="1">
        <f>IF(B1095="North",77.2,
IF(B1095="South",80.2,
IF(B1095="East",88.4,
IF(B1095="West",72.8,
78.9))))</f>
        <v>77.2</v>
      </c>
    </row>
    <row r="1096" spans="1:12" x14ac:dyDescent="0.25">
      <c r="A1096" s="5">
        <v>45414</v>
      </c>
      <c r="B1096" s="1" t="s">
        <v>12</v>
      </c>
      <c r="C1096" s="1" t="s">
        <v>18</v>
      </c>
      <c r="D1096" s="1" t="s">
        <v>26</v>
      </c>
      <c r="E1096" s="10">
        <v>2</v>
      </c>
      <c r="F1096" s="10">
        <v>1934</v>
      </c>
      <c r="G1096" s="1" t="s">
        <v>34</v>
      </c>
      <c r="H1096" s="10">
        <f t="shared" si="34"/>
        <v>3868</v>
      </c>
      <c r="I1096" s="7">
        <v>3298.948318513575</v>
      </c>
      <c r="J1096" s="7">
        <f t="shared" si="35"/>
        <v>569.05168148642497</v>
      </c>
      <c r="K1096" s="1">
        <f>IF(B1096="North",28.6,
IF(B1096="South",13,
IF(B1096="East",22.6,
IF(B1096="West",19,
23.5))))</f>
        <v>22.6</v>
      </c>
      <c r="L1096" s="1">
        <f>IF(B1096="North",77.2,
IF(B1096="South",80.2,
IF(B1096="East",88.4,
IF(B1096="West",72.8,
78.9))))</f>
        <v>88.4</v>
      </c>
    </row>
    <row r="1097" spans="1:12" x14ac:dyDescent="0.25">
      <c r="A1097" s="5">
        <v>45621</v>
      </c>
      <c r="B1097" s="1" t="s">
        <v>11</v>
      </c>
      <c r="C1097" s="1" t="s">
        <v>20</v>
      </c>
      <c r="D1097" s="1" t="s">
        <v>29</v>
      </c>
      <c r="E1097" s="10">
        <v>19</v>
      </c>
      <c r="F1097" s="10">
        <v>1664</v>
      </c>
      <c r="G1097" s="1" t="s">
        <v>34</v>
      </c>
      <c r="H1097" s="10">
        <f t="shared" si="34"/>
        <v>31616</v>
      </c>
      <c r="I1097" s="7">
        <v>24532.990636976501</v>
      </c>
      <c r="J1097" s="7">
        <f t="shared" si="35"/>
        <v>7083.0093630234987</v>
      </c>
      <c r="K1097" s="1">
        <f>IF(B1097="North",28.6,
IF(B1097="South",13,
IF(B1097="East",22.6,
IF(B1097="West",19,
23.5))))</f>
        <v>19</v>
      </c>
      <c r="L1097" s="1">
        <f>IF(B1097="North",77.2,
IF(B1097="South",80.2,
IF(B1097="East",88.4,
IF(B1097="West",72.8,
78.9))))</f>
        <v>72.8</v>
      </c>
    </row>
    <row r="1098" spans="1:12" x14ac:dyDescent="0.25">
      <c r="A1098" s="5">
        <v>45644</v>
      </c>
      <c r="B1098" s="1" t="s">
        <v>12</v>
      </c>
      <c r="C1098" s="1" t="s">
        <v>24</v>
      </c>
      <c r="D1098" s="1" t="s">
        <v>29</v>
      </c>
      <c r="E1098" s="10">
        <v>19</v>
      </c>
      <c r="F1098" s="10">
        <v>1288</v>
      </c>
      <c r="G1098" s="1" t="s">
        <v>35</v>
      </c>
      <c r="H1098" s="10">
        <f t="shared" si="34"/>
        <v>24472</v>
      </c>
      <c r="I1098" s="7">
        <v>17416.259327062809</v>
      </c>
      <c r="J1098" s="7">
        <f t="shared" si="35"/>
        <v>7055.7406729371905</v>
      </c>
      <c r="K1098" s="1">
        <f>IF(B1098="North",28.6,
IF(B1098="South",13,
IF(B1098="East",22.6,
IF(B1098="West",19,
23.5))))</f>
        <v>22.6</v>
      </c>
      <c r="L1098" s="1">
        <f>IF(B1098="North",77.2,
IF(B1098="South",80.2,
IF(B1098="East",88.4,
IF(B1098="West",72.8,
78.9))))</f>
        <v>88.4</v>
      </c>
    </row>
    <row r="1099" spans="1:12" x14ac:dyDescent="0.25">
      <c r="A1099" s="5">
        <v>45409</v>
      </c>
      <c r="B1099" s="1" t="s">
        <v>12</v>
      </c>
      <c r="C1099" s="1" t="s">
        <v>21</v>
      </c>
      <c r="D1099" s="1" t="s">
        <v>30</v>
      </c>
      <c r="E1099" s="10">
        <v>7</v>
      </c>
      <c r="F1099" s="10">
        <v>948</v>
      </c>
      <c r="G1099" s="1" t="s">
        <v>35</v>
      </c>
      <c r="H1099" s="10">
        <f t="shared" si="34"/>
        <v>6636</v>
      </c>
      <c r="I1099" s="7">
        <v>4141.3190226584084</v>
      </c>
      <c r="J1099" s="7">
        <f t="shared" si="35"/>
        <v>2494.6809773415916</v>
      </c>
      <c r="K1099" s="1">
        <f>IF(B1099="North",28.6,
IF(B1099="South",13,
IF(B1099="East",22.6,
IF(B1099="West",19,
23.5))))</f>
        <v>22.6</v>
      </c>
      <c r="L1099" s="1">
        <f>IF(B1099="North",77.2,
IF(B1099="South",80.2,
IF(B1099="East",88.4,
IF(B1099="West",72.8,
78.9))))</f>
        <v>88.4</v>
      </c>
    </row>
    <row r="1100" spans="1:12" x14ac:dyDescent="0.25">
      <c r="A1100" s="5">
        <v>45585</v>
      </c>
      <c r="B1100" s="1" t="s">
        <v>12</v>
      </c>
      <c r="C1100" s="1" t="s">
        <v>22</v>
      </c>
      <c r="D1100" s="1" t="s">
        <v>25</v>
      </c>
      <c r="E1100" s="10">
        <v>10</v>
      </c>
      <c r="F1100" s="10">
        <v>1821</v>
      </c>
      <c r="G1100" s="1" t="s">
        <v>35</v>
      </c>
      <c r="H1100" s="10">
        <f t="shared" si="34"/>
        <v>18210</v>
      </c>
      <c r="I1100" s="7">
        <v>12901.77536255469</v>
      </c>
      <c r="J1100" s="7">
        <f t="shared" si="35"/>
        <v>5308.2246374453098</v>
      </c>
      <c r="K1100" s="1">
        <f>IF(B1100="North",28.6,
IF(B1100="South",13,
IF(B1100="East",22.6,
IF(B1100="West",19,
23.5))))</f>
        <v>22.6</v>
      </c>
      <c r="L1100" s="1">
        <f>IF(B1100="North",77.2,
IF(B1100="South",80.2,
IF(B1100="East",88.4,
IF(B1100="West",72.8,
78.9))))</f>
        <v>88.4</v>
      </c>
    </row>
    <row r="1101" spans="1:12" x14ac:dyDescent="0.25">
      <c r="A1101" s="5">
        <v>45450</v>
      </c>
      <c r="B1101" s="1" t="s">
        <v>10</v>
      </c>
      <c r="C1101" s="1" t="s">
        <v>23</v>
      </c>
      <c r="D1101" s="1" t="s">
        <v>32</v>
      </c>
      <c r="E1101" s="10">
        <v>10</v>
      </c>
      <c r="F1101" s="10">
        <v>1689</v>
      </c>
      <c r="G1101" s="1" t="s">
        <v>34</v>
      </c>
      <c r="H1101" s="10">
        <f t="shared" si="34"/>
        <v>16890</v>
      </c>
      <c r="I1101" s="7">
        <v>11056.536081146931</v>
      </c>
      <c r="J1101" s="7">
        <f t="shared" si="35"/>
        <v>5833.4639188530691</v>
      </c>
      <c r="K1101" s="1">
        <f>IF(B1101="North",28.6,
IF(B1101="South",13,
IF(B1101="East",22.6,
IF(B1101="West",19,
23.5))))</f>
        <v>28.6</v>
      </c>
      <c r="L1101" s="1">
        <f>IF(B1101="North",77.2,
IF(B1101="South",80.2,
IF(B1101="East",88.4,
IF(B1101="West",72.8,
78.9))))</f>
        <v>77.2</v>
      </c>
    </row>
    <row r="1102" spans="1:12" x14ac:dyDescent="0.25">
      <c r="A1102" s="5">
        <v>45594</v>
      </c>
      <c r="B1102" s="1" t="s">
        <v>11</v>
      </c>
      <c r="C1102" s="1" t="s">
        <v>23</v>
      </c>
      <c r="D1102" s="1" t="s">
        <v>25</v>
      </c>
      <c r="E1102" s="10">
        <v>9</v>
      </c>
      <c r="F1102" s="10">
        <v>1418</v>
      </c>
      <c r="G1102" s="1" t="s">
        <v>34</v>
      </c>
      <c r="H1102" s="10">
        <f t="shared" si="34"/>
        <v>12762</v>
      </c>
      <c r="I1102" s="7">
        <v>11335.95937841719</v>
      </c>
      <c r="J1102" s="7">
        <f t="shared" si="35"/>
        <v>1426.0406215828098</v>
      </c>
      <c r="K1102" s="1">
        <f>IF(B1102="North",28.6,
IF(B1102="South",13,
IF(B1102="East",22.6,
IF(B1102="West",19,
23.5))))</f>
        <v>19</v>
      </c>
      <c r="L1102" s="1">
        <f>IF(B1102="North",77.2,
IF(B1102="South",80.2,
IF(B1102="East",88.4,
IF(B1102="West",72.8,
78.9))))</f>
        <v>72.8</v>
      </c>
    </row>
    <row r="1103" spans="1:12" x14ac:dyDescent="0.25">
      <c r="A1103" s="5">
        <v>45519</v>
      </c>
      <c r="B1103" s="1" t="s">
        <v>13</v>
      </c>
      <c r="C1103" s="1" t="s">
        <v>19</v>
      </c>
      <c r="D1103" s="1" t="s">
        <v>27</v>
      </c>
      <c r="E1103" s="10">
        <v>17</v>
      </c>
      <c r="F1103" s="10">
        <v>141</v>
      </c>
      <c r="G1103" s="1" t="s">
        <v>35</v>
      </c>
      <c r="H1103" s="10">
        <f t="shared" si="34"/>
        <v>2397</v>
      </c>
      <c r="I1103" s="7">
        <v>1952.379397264564</v>
      </c>
      <c r="J1103" s="7">
        <f t="shared" si="35"/>
        <v>444.62060273543602</v>
      </c>
      <c r="K1103" s="1">
        <f>IF(B1103="North",28.6,
IF(B1103="South",13,
IF(B1103="East",22.6,
IF(B1103="West",19,
23.5))))</f>
        <v>13</v>
      </c>
      <c r="L1103" s="1">
        <f>IF(B1103="North",77.2,
IF(B1103="South",80.2,
IF(B1103="East",88.4,
IF(B1103="West",72.8,
78.9))))</f>
        <v>80.2</v>
      </c>
    </row>
    <row r="1104" spans="1:12" x14ac:dyDescent="0.25">
      <c r="A1104" s="5">
        <v>45656</v>
      </c>
      <c r="B1104" s="1" t="s">
        <v>10</v>
      </c>
      <c r="C1104" s="1" t="s">
        <v>23</v>
      </c>
      <c r="D1104" s="1" t="s">
        <v>31</v>
      </c>
      <c r="E1104" s="10">
        <v>10</v>
      </c>
      <c r="F1104" s="10">
        <v>1408</v>
      </c>
      <c r="G1104" s="1" t="s">
        <v>34</v>
      </c>
      <c r="H1104" s="10">
        <f t="shared" si="34"/>
        <v>14080</v>
      </c>
      <c r="I1104" s="7">
        <f>H1104*0.7</f>
        <v>9856</v>
      </c>
      <c r="J1104" s="7">
        <f t="shared" si="35"/>
        <v>4224</v>
      </c>
      <c r="K1104" s="1">
        <f>IF(B1104="North",28.6,
IF(B1104="South",13,
IF(B1104="East",22.6,
IF(B1104="West",19,
23.5))))</f>
        <v>28.6</v>
      </c>
      <c r="L1104" s="1">
        <f>IF(B1104="North",77.2,
IF(B1104="South",80.2,
IF(B1104="East",88.4,
IF(B1104="West",72.8,
78.9))))</f>
        <v>77.2</v>
      </c>
    </row>
    <row r="1105" spans="1:12" x14ac:dyDescent="0.25">
      <c r="A1105" s="5">
        <v>45507</v>
      </c>
      <c r="B1105" s="1" t="s">
        <v>10</v>
      </c>
      <c r="C1105" s="1" t="s">
        <v>17</v>
      </c>
      <c r="D1105" s="1" t="s">
        <v>30</v>
      </c>
      <c r="E1105" s="10">
        <v>2</v>
      </c>
      <c r="F1105" s="10">
        <v>1038</v>
      </c>
      <c r="G1105" s="1" t="s">
        <v>33</v>
      </c>
      <c r="H1105" s="10">
        <f t="shared" si="34"/>
        <v>2076</v>
      </c>
      <c r="I1105" s="7">
        <v>1517.121658865035</v>
      </c>
      <c r="J1105" s="7">
        <f t="shared" si="35"/>
        <v>558.87834113496501</v>
      </c>
      <c r="K1105" s="1">
        <f>IF(B1105="North",28.6,
IF(B1105="South",13,
IF(B1105="East",22.6,
IF(B1105="West",19,
23.5))))</f>
        <v>28.6</v>
      </c>
      <c r="L1105" s="1">
        <f>IF(B1105="North",77.2,
IF(B1105="South",80.2,
IF(B1105="East",88.4,
IF(B1105="West",72.8,
78.9))))</f>
        <v>77.2</v>
      </c>
    </row>
    <row r="1106" spans="1:12" x14ac:dyDescent="0.25">
      <c r="A1106" s="5">
        <v>45475</v>
      </c>
      <c r="B1106" s="1" t="s">
        <v>10</v>
      </c>
      <c r="C1106" s="1" t="s">
        <v>21</v>
      </c>
      <c r="D1106" s="1" t="s">
        <v>27</v>
      </c>
      <c r="E1106" s="10">
        <v>4</v>
      </c>
      <c r="F1106" s="10">
        <v>486</v>
      </c>
      <c r="G1106" s="1" t="s">
        <v>35</v>
      </c>
      <c r="H1106" s="10">
        <f t="shared" si="34"/>
        <v>1944</v>
      </c>
      <c r="I1106" s="7">
        <v>1230.5314877664109</v>
      </c>
      <c r="J1106" s="7">
        <f t="shared" si="35"/>
        <v>713.46851223358908</v>
      </c>
      <c r="K1106" s="1">
        <f>IF(B1106="North",28.6,
IF(B1106="South",13,
IF(B1106="East",22.6,
IF(B1106="West",19,
23.5))))</f>
        <v>28.6</v>
      </c>
      <c r="L1106" s="1">
        <f>IF(B1106="North",77.2,
IF(B1106="South",80.2,
IF(B1106="East",88.4,
IF(B1106="West",72.8,
78.9))))</f>
        <v>77.2</v>
      </c>
    </row>
    <row r="1107" spans="1:12" x14ac:dyDescent="0.25">
      <c r="A1107" s="5">
        <v>45306</v>
      </c>
      <c r="B1107" s="1" t="s">
        <v>13</v>
      </c>
      <c r="C1107" s="1" t="s">
        <v>22</v>
      </c>
      <c r="D1107" s="1" t="s">
        <v>27</v>
      </c>
      <c r="E1107" s="10">
        <v>19</v>
      </c>
      <c r="F1107" s="10">
        <v>1261</v>
      </c>
      <c r="G1107" s="1" t="s">
        <v>35</v>
      </c>
      <c r="H1107" s="10">
        <f t="shared" si="34"/>
        <v>23959</v>
      </c>
      <c r="I1107" s="7">
        <v>16292.47808762485</v>
      </c>
      <c r="J1107" s="7">
        <f t="shared" si="35"/>
        <v>7666.5219123751504</v>
      </c>
      <c r="K1107" s="1">
        <f>IF(B1107="North",28.6,
IF(B1107="South",13,
IF(B1107="East",22.6,
IF(B1107="West",19,
23.5))))</f>
        <v>13</v>
      </c>
      <c r="L1107" s="1">
        <f>IF(B1107="North",77.2,
IF(B1107="South",80.2,
IF(B1107="East",88.4,
IF(B1107="West",72.8,
78.9))))</f>
        <v>80.2</v>
      </c>
    </row>
    <row r="1108" spans="1:12" x14ac:dyDescent="0.25">
      <c r="A1108" s="5">
        <v>45448</v>
      </c>
      <c r="B1108" s="1" t="s">
        <v>11</v>
      </c>
      <c r="C1108" s="1" t="s">
        <v>22</v>
      </c>
      <c r="D1108" s="1" t="s">
        <v>32</v>
      </c>
      <c r="E1108" s="10">
        <v>17</v>
      </c>
      <c r="F1108" s="10">
        <v>1310</v>
      </c>
      <c r="G1108" s="1" t="s">
        <v>35</v>
      </c>
      <c r="H1108" s="10">
        <f t="shared" si="34"/>
        <v>22270</v>
      </c>
      <c r="I1108" s="7">
        <v>15097.12988626715</v>
      </c>
      <c r="J1108" s="7">
        <f t="shared" si="35"/>
        <v>7172.8701137328499</v>
      </c>
      <c r="K1108" s="1">
        <f>IF(B1108="North",28.6,
IF(B1108="South",13,
IF(B1108="East",22.6,
IF(B1108="West",19,
23.5))))</f>
        <v>19</v>
      </c>
      <c r="L1108" s="1">
        <f>IF(B1108="North",77.2,
IF(B1108="South",80.2,
IF(B1108="East",88.4,
IF(B1108="West",72.8,
78.9))))</f>
        <v>72.8</v>
      </c>
    </row>
    <row r="1109" spans="1:12" x14ac:dyDescent="0.25">
      <c r="A1109" s="5">
        <v>45427</v>
      </c>
      <c r="B1109" s="1" t="s">
        <v>11</v>
      </c>
      <c r="C1109" s="1" t="s">
        <v>19</v>
      </c>
      <c r="D1109" s="1" t="s">
        <v>28</v>
      </c>
      <c r="E1109" s="10">
        <v>5</v>
      </c>
      <c r="F1109" s="10">
        <v>1009</v>
      </c>
      <c r="G1109" s="1" t="s">
        <v>35</v>
      </c>
      <c r="H1109" s="10">
        <f t="shared" si="34"/>
        <v>5045</v>
      </c>
      <c r="I1109" s="7">
        <v>3763.7405474381371</v>
      </c>
      <c r="J1109" s="7">
        <f t="shared" si="35"/>
        <v>1281.2594525618629</v>
      </c>
      <c r="K1109" s="1">
        <f>IF(B1109="North",28.6,
IF(B1109="South",13,
IF(B1109="East",22.6,
IF(B1109="West",19,
23.5))))</f>
        <v>19</v>
      </c>
      <c r="L1109" s="1">
        <f>IF(B1109="North",77.2,
IF(B1109="South",80.2,
IF(B1109="East",88.4,
IF(B1109="West",72.8,
78.9))))</f>
        <v>72.8</v>
      </c>
    </row>
    <row r="1110" spans="1:12" x14ac:dyDescent="0.25">
      <c r="A1110" s="5">
        <v>45552</v>
      </c>
      <c r="B1110" s="1" t="s">
        <v>11</v>
      </c>
      <c r="C1110" s="1" t="s">
        <v>24</v>
      </c>
      <c r="D1110" s="1" t="s">
        <v>28</v>
      </c>
      <c r="E1110" s="10">
        <v>7</v>
      </c>
      <c r="F1110" s="10">
        <v>815</v>
      </c>
      <c r="G1110" s="1" t="s">
        <v>35</v>
      </c>
      <c r="H1110" s="10">
        <f t="shared" si="34"/>
        <v>5705</v>
      </c>
      <c r="I1110" s="7">
        <v>4211.9669049256809</v>
      </c>
      <c r="J1110" s="7">
        <f t="shared" si="35"/>
        <v>1493.0330950743191</v>
      </c>
      <c r="K1110" s="1">
        <f>IF(B1110="North",28.6,
IF(B1110="South",13,
IF(B1110="East",22.6,
IF(B1110="West",19,
23.5))))</f>
        <v>19</v>
      </c>
      <c r="L1110" s="1">
        <f>IF(B1110="North",77.2,
IF(B1110="South",80.2,
IF(B1110="East",88.4,
IF(B1110="West",72.8,
78.9))))</f>
        <v>72.8</v>
      </c>
    </row>
    <row r="1111" spans="1:12" x14ac:dyDescent="0.25">
      <c r="A1111" s="5">
        <v>45448</v>
      </c>
      <c r="B1111" s="1" t="s">
        <v>12</v>
      </c>
      <c r="C1111" s="1" t="s">
        <v>22</v>
      </c>
      <c r="D1111" s="1" t="s">
        <v>25</v>
      </c>
      <c r="E1111" s="10">
        <v>18</v>
      </c>
      <c r="F1111" s="10">
        <v>530</v>
      </c>
      <c r="G1111" s="1" t="s">
        <v>35</v>
      </c>
      <c r="H1111" s="10">
        <f t="shared" si="34"/>
        <v>9540</v>
      </c>
      <c r="I1111" s="7">
        <v>6964.4143181182071</v>
      </c>
      <c r="J1111" s="7">
        <f t="shared" si="35"/>
        <v>2575.5856818817929</v>
      </c>
      <c r="K1111" s="1">
        <f>IF(B1111="North",28.6,
IF(B1111="South",13,
IF(B1111="East",22.6,
IF(B1111="West",19,
23.5))))</f>
        <v>22.6</v>
      </c>
      <c r="L1111" s="1">
        <f>IF(B1111="North",77.2,
IF(B1111="South",80.2,
IF(B1111="East",88.4,
IF(B1111="West",72.8,
78.9))))</f>
        <v>88.4</v>
      </c>
    </row>
    <row r="1112" spans="1:12" x14ac:dyDescent="0.25">
      <c r="A1112" s="5">
        <v>45338</v>
      </c>
      <c r="B1112" s="1" t="s">
        <v>12</v>
      </c>
      <c r="C1112" s="1" t="s">
        <v>17</v>
      </c>
      <c r="D1112" s="1" t="s">
        <v>30</v>
      </c>
      <c r="E1112" s="10">
        <v>7</v>
      </c>
      <c r="F1112" s="10">
        <v>653</v>
      </c>
      <c r="G1112" s="1" t="s">
        <v>33</v>
      </c>
      <c r="H1112" s="10">
        <f t="shared" si="34"/>
        <v>4571</v>
      </c>
      <c r="I1112" s="7">
        <v>3422.7339000757561</v>
      </c>
      <c r="J1112" s="7">
        <f t="shared" si="35"/>
        <v>1148.2660999242439</v>
      </c>
      <c r="K1112" s="1">
        <f>IF(B1112="North",28.6,
IF(B1112="South",13,
IF(B1112="East",22.6,
IF(B1112="West",19,
23.5))))</f>
        <v>22.6</v>
      </c>
      <c r="L1112" s="1">
        <f>IF(B1112="North",77.2,
IF(B1112="South",80.2,
IF(B1112="East",88.4,
IF(B1112="West",72.8,
78.9))))</f>
        <v>88.4</v>
      </c>
    </row>
    <row r="1113" spans="1:12" x14ac:dyDescent="0.25">
      <c r="A1113" s="5">
        <v>45615</v>
      </c>
      <c r="B1113" s="1" t="s">
        <v>12</v>
      </c>
      <c r="C1113" s="1" t="s">
        <v>22</v>
      </c>
      <c r="D1113" s="1" t="s">
        <v>28</v>
      </c>
      <c r="E1113" s="10">
        <v>17</v>
      </c>
      <c r="F1113" s="10">
        <v>1985</v>
      </c>
      <c r="G1113" s="1" t="s">
        <v>35</v>
      </c>
      <c r="H1113" s="10">
        <f t="shared" si="34"/>
        <v>33745</v>
      </c>
      <c r="I1113" s="7">
        <v>30239.128170439461</v>
      </c>
      <c r="J1113" s="7">
        <f t="shared" si="35"/>
        <v>3505.8718295605395</v>
      </c>
      <c r="K1113" s="1">
        <f>IF(B1113="North",28.6,
IF(B1113="South",13,
IF(B1113="East",22.6,
IF(B1113="West",19,
23.5))))</f>
        <v>22.6</v>
      </c>
      <c r="L1113" s="1">
        <f>IF(B1113="North",77.2,
IF(B1113="South",80.2,
IF(B1113="East",88.4,
IF(B1113="West",72.8,
78.9))))</f>
        <v>88.4</v>
      </c>
    </row>
    <row r="1114" spans="1:12" x14ac:dyDescent="0.25">
      <c r="A1114" s="5">
        <v>45623</v>
      </c>
      <c r="B1114" s="1" t="s">
        <v>13</v>
      </c>
      <c r="C1114" s="1" t="s">
        <v>17</v>
      </c>
      <c r="D1114" s="1" t="s">
        <v>27</v>
      </c>
      <c r="E1114" s="10">
        <v>7</v>
      </c>
      <c r="F1114" s="10">
        <v>1539</v>
      </c>
      <c r="G1114" s="1" t="s">
        <v>33</v>
      </c>
      <c r="H1114" s="10">
        <f t="shared" si="34"/>
        <v>10773</v>
      </c>
      <c r="I1114" s="7">
        <v>7428.0490989070531</v>
      </c>
      <c r="J1114" s="7">
        <f t="shared" si="35"/>
        <v>3344.9509010929469</v>
      </c>
      <c r="K1114" s="1">
        <f>IF(B1114="North",28.6,
IF(B1114="South",13,
IF(B1114="East",22.6,
IF(B1114="West",19,
23.5))))</f>
        <v>13</v>
      </c>
      <c r="L1114" s="1">
        <f>IF(B1114="North",77.2,
IF(B1114="South",80.2,
IF(B1114="East",88.4,
IF(B1114="West",72.8,
78.9))))</f>
        <v>80.2</v>
      </c>
    </row>
    <row r="1115" spans="1:12" x14ac:dyDescent="0.25">
      <c r="A1115" s="5">
        <v>45464</v>
      </c>
      <c r="B1115" s="1" t="s">
        <v>12</v>
      </c>
      <c r="C1115" s="1" t="s">
        <v>21</v>
      </c>
      <c r="D1115" s="1" t="s">
        <v>28</v>
      </c>
      <c r="E1115" s="10">
        <v>4</v>
      </c>
      <c r="F1115" s="10">
        <v>899</v>
      </c>
      <c r="G1115" s="1" t="s">
        <v>35</v>
      </c>
      <c r="H1115" s="10">
        <f t="shared" si="34"/>
        <v>3596</v>
      </c>
      <c r="I1115" s="7">
        <v>2821.352370178663</v>
      </c>
      <c r="J1115" s="7">
        <f t="shared" si="35"/>
        <v>774.64762982133698</v>
      </c>
      <c r="K1115" s="1">
        <f>IF(B1115="North",28.6,
IF(B1115="South",13,
IF(B1115="East",22.6,
IF(B1115="West",19,
23.5))))</f>
        <v>22.6</v>
      </c>
      <c r="L1115" s="1">
        <f>IF(B1115="North",77.2,
IF(B1115="South",80.2,
IF(B1115="East",88.4,
IF(B1115="West",72.8,
78.9))))</f>
        <v>88.4</v>
      </c>
    </row>
    <row r="1116" spans="1:12" x14ac:dyDescent="0.25">
      <c r="A1116" s="5">
        <v>45421</v>
      </c>
      <c r="B1116" s="1" t="s">
        <v>13</v>
      </c>
      <c r="C1116" s="1" t="s">
        <v>21</v>
      </c>
      <c r="D1116" s="1" t="s">
        <v>26</v>
      </c>
      <c r="E1116" s="10">
        <v>8</v>
      </c>
      <c r="F1116" s="10">
        <v>525</v>
      </c>
      <c r="G1116" s="1" t="s">
        <v>35</v>
      </c>
      <c r="H1116" s="10">
        <f t="shared" si="34"/>
        <v>4200</v>
      </c>
      <c r="I1116" s="7">
        <v>2821.779757490784</v>
      </c>
      <c r="J1116" s="7">
        <f t="shared" si="35"/>
        <v>1378.220242509216</v>
      </c>
      <c r="K1116" s="1">
        <f>IF(B1116="North",28.6,
IF(B1116="South",13,
IF(B1116="East",22.6,
IF(B1116="West",19,
23.5))))</f>
        <v>13</v>
      </c>
      <c r="L1116" s="1">
        <f>IF(B1116="North",77.2,
IF(B1116="South",80.2,
IF(B1116="East",88.4,
IF(B1116="West",72.8,
78.9))))</f>
        <v>80.2</v>
      </c>
    </row>
    <row r="1117" spans="1:12" x14ac:dyDescent="0.25">
      <c r="A1117" s="5">
        <v>45386</v>
      </c>
      <c r="B1117" s="1" t="s">
        <v>11</v>
      </c>
      <c r="C1117" s="1" t="s">
        <v>20</v>
      </c>
      <c r="D1117" s="1" t="s">
        <v>28</v>
      </c>
      <c r="E1117" s="10">
        <v>13</v>
      </c>
      <c r="F1117" s="10">
        <v>1539</v>
      </c>
      <c r="G1117" s="1" t="s">
        <v>33</v>
      </c>
      <c r="H1117" s="10">
        <f t="shared" si="34"/>
        <v>20007</v>
      </c>
      <c r="I1117" s="7">
        <v>14804.817468715541</v>
      </c>
      <c r="J1117" s="7">
        <f t="shared" si="35"/>
        <v>5202.1825312844594</v>
      </c>
      <c r="K1117" s="1">
        <f>IF(B1117="North",28.6,
IF(B1117="South",13,
IF(B1117="East",22.6,
IF(B1117="West",19,
23.5))))</f>
        <v>19</v>
      </c>
      <c r="L1117" s="1">
        <f>IF(B1117="North",77.2,
IF(B1117="South",80.2,
IF(B1117="East",88.4,
IF(B1117="West",72.8,
78.9))))</f>
        <v>72.8</v>
      </c>
    </row>
    <row r="1118" spans="1:12" x14ac:dyDescent="0.25">
      <c r="A1118" s="5">
        <v>45406</v>
      </c>
      <c r="B1118" s="1" t="s">
        <v>12</v>
      </c>
      <c r="C1118" s="1" t="s">
        <v>20</v>
      </c>
      <c r="D1118" s="1" t="s">
        <v>36</v>
      </c>
      <c r="E1118" s="10">
        <v>4</v>
      </c>
      <c r="F1118" s="10">
        <v>125</v>
      </c>
      <c r="G1118" s="1" t="s">
        <v>33</v>
      </c>
      <c r="H1118" s="10">
        <f t="shared" si="34"/>
        <v>500</v>
      </c>
      <c r="I1118" s="7">
        <v>330.00738497195618</v>
      </c>
      <c r="J1118" s="7">
        <f t="shared" si="35"/>
        <v>169.99261502804382</v>
      </c>
      <c r="K1118" s="1">
        <f>IF(B1118="North",28.6,
IF(B1118="South",13,
IF(B1118="East",22.6,
IF(B1118="West",19,
23.5))))</f>
        <v>22.6</v>
      </c>
      <c r="L1118" s="1">
        <f>IF(B1118="North",77.2,
IF(B1118="South",80.2,
IF(B1118="East",88.4,
IF(B1118="West",72.8,
78.9))))</f>
        <v>88.4</v>
      </c>
    </row>
    <row r="1119" spans="1:12" x14ac:dyDescent="0.25">
      <c r="A1119" s="5">
        <v>45534</v>
      </c>
      <c r="B1119" s="1" t="s">
        <v>12</v>
      </c>
      <c r="C1119" s="1" t="s">
        <v>17</v>
      </c>
      <c r="D1119" s="1" t="s">
        <v>25</v>
      </c>
      <c r="E1119" s="10">
        <v>6</v>
      </c>
      <c r="F1119" s="10">
        <v>1073.5</v>
      </c>
      <c r="G1119" s="1" t="s">
        <v>33</v>
      </c>
      <c r="H1119" s="10">
        <f t="shared" si="34"/>
        <v>6441</v>
      </c>
      <c r="I1119" s="7">
        <f>H1119*0.7</f>
        <v>4508.7</v>
      </c>
      <c r="J1119" s="7">
        <f t="shared" si="35"/>
        <v>1932.3000000000002</v>
      </c>
      <c r="K1119" s="1">
        <f>IF(B1119="North",28.6,
IF(B1119="South",13,
IF(B1119="East",22.6,
IF(B1119="West",19,
23.5))))</f>
        <v>22.6</v>
      </c>
      <c r="L1119" s="1">
        <f>IF(B1119="North",77.2,
IF(B1119="South",80.2,
IF(B1119="East",88.4,
IF(B1119="West",72.8,
78.9))))</f>
        <v>88.4</v>
      </c>
    </row>
    <row r="1120" spans="1:12" x14ac:dyDescent="0.25">
      <c r="A1120" s="5">
        <v>45583</v>
      </c>
      <c r="B1120" s="1" t="s">
        <v>10</v>
      </c>
      <c r="C1120" s="1" t="s">
        <v>24</v>
      </c>
      <c r="D1120" s="1" t="s">
        <v>36</v>
      </c>
      <c r="E1120" s="10">
        <v>5</v>
      </c>
      <c r="F1120" s="10">
        <v>484</v>
      </c>
      <c r="G1120" s="1" t="s">
        <v>35</v>
      </c>
      <c r="H1120" s="10">
        <f t="shared" si="34"/>
        <v>2420</v>
      </c>
      <c r="I1120" s="7">
        <v>1644.3985569871429</v>
      </c>
      <c r="J1120" s="7">
        <f t="shared" si="35"/>
        <v>775.60144301285709</v>
      </c>
      <c r="K1120" s="1">
        <f>IF(B1120="North",28.6,
IF(B1120="South",13,
IF(B1120="East",22.6,
IF(B1120="West",19,
23.5))))</f>
        <v>28.6</v>
      </c>
      <c r="L1120" s="1">
        <f>IF(B1120="North",77.2,
IF(B1120="South",80.2,
IF(B1120="East",88.4,
IF(B1120="West",72.8,
78.9))))</f>
        <v>77.2</v>
      </c>
    </row>
    <row r="1121" spans="1:12" x14ac:dyDescent="0.25">
      <c r="A1121" s="5">
        <v>45573</v>
      </c>
      <c r="B1121" s="1" t="s">
        <v>13</v>
      </c>
      <c r="C1121" s="1" t="s">
        <v>22</v>
      </c>
      <c r="D1121" s="1" t="s">
        <v>30</v>
      </c>
      <c r="E1121" s="10">
        <v>12</v>
      </c>
      <c r="F1121" s="10">
        <v>155</v>
      </c>
      <c r="G1121" s="1" t="s">
        <v>35</v>
      </c>
      <c r="H1121" s="10">
        <f t="shared" si="34"/>
        <v>1860</v>
      </c>
      <c r="I1121" s="7">
        <v>1136.528215529107</v>
      </c>
      <c r="J1121" s="7">
        <f t="shared" si="35"/>
        <v>723.471784470893</v>
      </c>
      <c r="K1121" s="1">
        <f>IF(B1121="North",28.6,
IF(B1121="South",13,
IF(B1121="East",22.6,
IF(B1121="West",19,
23.5))))</f>
        <v>13</v>
      </c>
      <c r="L1121" s="1">
        <f>IF(B1121="North",77.2,
IF(B1121="South",80.2,
IF(B1121="East",88.4,
IF(B1121="West",72.8,
78.9))))</f>
        <v>80.2</v>
      </c>
    </row>
    <row r="1122" spans="1:12" x14ac:dyDescent="0.25">
      <c r="A1122" s="5">
        <v>45590</v>
      </c>
      <c r="B1122" s="1" t="s">
        <v>11</v>
      </c>
      <c r="C1122" s="1" t="s">
        <v>23</v>
      </c>
      <c r="D1122" s="1" t="s">
        <v>31</v>
      </c>
      <c r="E1122" s="10">
        <v>4</v>
      </c>
      <c r="F1122" s="10">
        <v>1376</v>
      </c>
      <c r="G1122" s="1" t="s">
        <v>34</v>
      </c>
      <c r="H1122" s="10">
        <f t="shared" si="34"/>
        <v>5504</v>
      </c>
      <c r="I1122" s="7">
        <v>4648.57562623992</v>
      </c>
      <c r="J1122" s="7">
        <f t="shared" si="35"/>
        <v>855.42437376008002</v>
      </c>
      <c r="K1122" s="1">
        <f>IF(B1122="North",28.6,
IF(B1122="South",13,
IF(B1122="East",22.6,
IF(B1122="West",19,
23.5))))</f>
        <v>19</v>
      </c>
      <c r="L1122" s="1">
        <f>IF(B1122="North",77.2,
IF(B1122="South",80.2,
IF(B1122="East",88.4,
IF(B1122="West",72.8,
78.9))))</f>
        <v>72.8</v>
      </c>
    </row>
    <row r="1123" spans="1:12" x14ac:dyDescent="0.25">
      <c r="A1123" s="5">
        <v>45574</v>
      </c>
      <c r="B1123" s="1" t="s">
        <v>36</v>
      </c>
      <c r="C1123" s="1" t="s">
        <v>22</v>
      </c>
      <c r="D1123" s="1" t="s">
        <v>28</v>
      </c>
      <c r="E1123" s="10">
        <v>10</v>
      </c>
      <c r="F1123" s="10">
        <v>733</v>
      </c>
      <c r="G1123" s="1" t="s">
        <v>35</v>
      </c>
      <c r="H1123" s="10">
        <f t="shared" si="34"/>
        <v>7330</v>
      </c>
      <c r="I1123" s="7">
        <f t="shared" ref="I1123:I1124" si="36">H1123*0.7</f>
        <v>5131</v>
      </c>
      <c r="J1123" s="7">
        <f t="shared" si="35"/>
        <v>2199</v>
      </c>
      <c r="K1123" s="1">
        <f>IF(B1123="North",28.6,
IF(B1123="South",13,
IF(B1123="East",22.6,
IF(B1123="West",19,
23.5))))</f>
        <v>23.5</v>
      </c>
      <c r="L1123" s="1">
        <f>IF(B1123="North",77.2,
IF(B1123="South",80.2,
IF(B1123="East",88.4,
IF(B1123="West",72.8,
78.9))))</f>
        <v>78.900000000000006</v>
      </c>
    </row>
    <row r="1124" spans="1:12" x14ac:dyDescent="0.25">
      <c r="A1124" s="5">
        <v>45360</v>
      </c>
      <c r="B1124" s="1" t="s">
        <v>10</v>
      </c>
      <c r="C1124" s="1" t="s">
        <v>20</v>
      </c>
      <c r="D1124" s="1" t="s">
        <v>29</v>
      </c>
      <c r="E1124" s="10">
        <v>10</v>
      </c>
      <c r="F1124" s="10">
        <v>205</v>
      </c>
      <c r="G1124" s="1" t="s">
        <v>33</v>
      </c>
      <c r="H1124" s="10">
        <f t="shared" si="34"/>
        <v>2050</v>
      </c>
      <c r="I1124" s="7">
        <f t="shared" si="36"/>
        <v>1435</v>
      </c>
      <c r="J1124" s="7">
        <f t="shared" si="35"/>
        <v>615</v>
      </c>
      <c r="K1124" s="1">
        <f>IF(B1124="North",28.6,
IF(B1124="South",13,
IF(B1124="East",22.6,
IF(B1124="West",19,
23.5))))</f>
        <v>28.6</v>
      </c>
      <c r="L1124" s="1">
        <f>IF(B1124="North",77.2,
IF(B1124="South",80.2,
IF(B1124="East",88.4,
IF(B1124="West",72.8,
78.9))))</f>
        <v>77.2</v>
      </c>
    </row>
    <row r="1125" spans="1:12" x14ac:dyDescent="0.25">
      <c r="A1125" s="5">
        <v>45439</v>
      </c>
      <c r="B1125" s="1" t="s">
        <v>11</v>
      </c>
      <c r="C1125" s="1" t="s">
        <v>18</v>
      </c>
      <c r="D1125" s="1" t="s">
        <v>29</v>
      </c>
      <c r="E1125" s="10">
        <v>19</v>
      </c>
      <c r="F1125" s="10">
        <v>1253</v>
      </c>
      <c r="G1125" s="1" t="s">
        <v>34</v>
      </c>
      <c r="H1125" s="10">
        <f t="shared" si="34"/>
        <v>23807</v>
      </c>
      <c r="I1125" s="7">
        <v>17692.250202033119</v>
      </c>
      <c r="J1125" s="7">
        <f t="shared" si="35"/>
        <v>6114.7497979668806</v>
      </c>
      <c r="K1125" s="1">
        <f>IF(B1125="North",28.6,
IF(B1125="South",13,
IF(B1125="East",22.6,
IF(B1125="West",19,
23.5))))</f>
        <v>19</v>
      </c>
      <c r="L1125" s="1">
        <f>IF(B1125="North",77.2,
IF(B1125="South",80.2,
IF(B1125="East",88.4,
IF(B1125="West",72.8,
78.9))))</f>
        <v>72.8</v>
      </c>
    </row>
    <row r="1126" spans="1:12" x14ac:dyDescent="0.25">
      <c r="A1126" s="5">
        <v>45302</v>
      </c>
      <c r="B1126" s="1" t="s">
        <v>10</v>
      </c>
      <c r="C1126" s="1" t="s">
        <v>23</v>
      </c>
      <c r="D1126" s="1" t="s">
        <v>25</v>
      </c>
      <c r="E1126" s="10">
        <v>14</v>
      </c>
      <c r="F1126" s="10">
        <v>948</v>
      </c>
      <c r="G1126" s="1" t="s">
        <v>34</v>
      </c>
      <c r="H1126" s="10">
        <f t="shared" si="34"/>
        <v>13272</v>
      </c>
      <c r="I1126" s="7">
        <v>9685.162369679947</v>
      </c>
      <c r="J1126" s="7">
        <f t="shared" si="35"/>
        <v>3586.837630320053</v>
      </c>
      <c r="K1126" s="1">
        <f>IF(B1126="North",28.6,
IF(B1126="South",13,
IF(B1126="East",22.6,
IF(B1126="West",19,
23.5))))</f>
        <v>28.6</v>
      </c>
      <c r="L1126" s="1">
        <f>IF(B1126="North",77.2,
IF(B1126="South",80.2,
IF(B1126="East",88.4,
IF(B1126="West",72.8,
78.9))))</f>
        <v>77.2</v>
      </c>
    </row>
    <row r="1127" spans="1:12" x14ac:dyDescent="0.25">
      <c r="A1127" s="5">
        <v>45545</v>
      </c>
      <c r="B1127" s="1" t="s">
        <v>13</v>
      </c>
      <c r="C1127" s="1" t="s">
        <v>17</v>
      </c>
      <c r="D1127" s="1" t="s">
        <v>27</v>
      </c>
      <c r="E1127" s="10">
        <v>5</v>
      </c>
      <c r="F1127" s="10">
        <v>769</v>
      </c>
      <c r="G1127" s="1" t="s">
        <v>33</v>
      </c>
      <c r="H1127" s="10">
        <f t="shared" si="34"/>
        <v>3845</v>
      </c>
      <c r="I1127" s="7">
        <v>3144.0554584164261</v>
      </c>
      <c r="J1127" s="7">
        <f t="shared" si="35"/>
        <v>700.94454158357394</v>
      </c>
      <c r="K1127" s="1">
        <f>IF(B1127="North",28.6,
IF(B1127="South",13,
IF(B1127="East",22.6,
IF(B1127="West",19,
23.5))))</f>
        <v>13</v>
      </c>
      <c r="L1127" s="1">
        <f>IF(B1127="North",77.2,
IF(B1127="South",80.2,
IF(B1127="East",88.4,
IF(B1127="West",72.8,
78.9))))</f>
        <v>80.2</v>
      </c>
    </row>
    <row r="1128" spans="1:12" x14ac:dyDescent="0.25">
      <c r="A1128" s="5">
        <v>45621</v>
      </c>
      <c r="B1128" s="1" t="s">
        <v>13</v>
      </c>
      <c r="C1128" s="1" t="s">
        <v>23</v>
      </c>
      <c r="D1128" s="1" t="s">
        <v>31</v>
      </c>
      <c r="E1128" s="10">
        <v>18</v>
      </c>
      <c r="F1128" s="10">
        <v>475</v>
      </c>
      <c r="G1128" s="1" t="s">
        <v>34</v>
      </c>
      <c r="H1128" s="10">
        <f t="shared" si="34"/>
        <v>8550</v>
      </c>
      <c r="I1128" s="7">
        <v>6660.7319685628727</v>
      </c>
      <c r="J1128" s="7">
        <f t="shared" si="35"/>
        <v>1889.2680314371273</v>
      </c>
      <c r="K1128" s="1">
        <f>IF(B1128="North",28.6,
IF(B1128="South",13,
IF(B1128="East",22.6,
IF(B1128="West",19,
23.5))))</f>
        <v>13</v>
      </c>
      <c r="L1128" s="1">
        <f>IF(B1128="North",77.2,
IF(B1128="South",80.2,
IF(B1128="East",88.4,
IF(B1128="West",72.8,
78.9))))</f>
        <v>80.2</v>
      </c>
    </row>
    <row r="1129" spans="1:12" x14ac:dyDescent="0.25">
      <c r="A1129" s="5">
        <v>45651</v>
      </c>
      <c r="B1129" s="1" t="s">
        <v>12</v>
      </c>
      <c r="C1129" s="1" t="s">
        <v>18</v>
      </c>
      <c r="D1129" s="1" t="s">
        <v>31</v>
      </c>
      <c r="E1129" s="10">
        <v>10</v>
      </c>
      <c r="F1129" s="10">
        <v>842</v>
      </c>
      <c r="G1129" s="1" t="s">
        <v>34</v>
      </c>
      <c r="H1129" s="10">
        <f t="shared" si="34"/>
        <v>8420</v>
      </c>
      <c r="I1129" s="7">
        <v>5798.1076075191086</v>
      </c>
      <c r="J1129" s="7">
        <f t="shared" si="35"/>
        <v>2621.8923924808914</v>
      </c>
      <c r="K1129" s="1">
        <f>IF(B1129="North",28.6,
IF(B1129="South",13,
IF(B1129="East",22.6,
IF(B1129="West",19,
23.5))))</f>
        <v>22.6</v>
      </c>
      <c r="L1129" s="1">
        <f>IF(B1129="North",77.2,
IF(B1129="South",80.2,
IF(B1129="East",88.4,
IF(B1129="West",72.8,
78.9))))</f>
        <v>88.4</v>
      </c>
    </row>
    <row r="1130" spans="1:12" x14ac:dyDescent="0.25">
      <c r="A1130" s="5">
        <v>45329</v>
      </c>
      <c r="B1130" s="1" t="s">
        <v>10</v>
      </c>
      <c r="C1130" s="1" t="s">
        <v>22</v>
      </c>
      <c r="D1130" s="1" t="s">
        <v>26</v>
      </c>
      <c r="E1130" s="10">
        <v>19</v>
      </c>
      <c r="F1130" s="10">
        <v>1066</v>
      </c>
      <c r="G1130" s="1" t="s">
        <v>35</v>
      </c>
      <c r="H1130" s="10">
        <f t="shared" si="34"/>
        <v>20254</v>
      </c>
      <c r="I1130" s="7">
        <v>12466.557767631881</v>
      </c>
      <c r="J1130" s="7">
        <f t="shared" si="35"/>
        <v>7787.4422323681192</v>
      </c>
      <c r="K1130" s="1">
        <f>IF(B1130="North",28.6,
IF(B1130="South",13,
IF(B1130="East",22.6,
IF(B1130="West",19,
23.5))))</f>
        <v>28.6</v>
      </c>
      <c r="L1130" s="1">
        <f>IF(B1130="North",77.2,
IF(B1130="South",80.2,
IF(B1130="East",88.4,
IF(B1130="West",72.8,
78.9))))</f>
        <v>77.2</v>
      </c>
    </row>
    <row r="1131" spans="1:12" x14ac:dyDescent="0.25">
      <c r="A1131" s="5">
        <v>45425</v>
      </c>
      <c r="B1131" s="1" t="s">
        <v>12</v>
      </c>
      <c r="C1131" s="1" t="s">
        <v>22</v>
      </c>
      <c r="D1131" s="1" t="s">
        <v>31</v>
      </c>
      <c r="E1131" s="10">
        <v>12</v>
      </c>
      <c r="F1131" s="10">
        <v>407</v>
      </c>
      <c r="G1131" s="1" t="s">
        <v>35</v>
      </c>
      <c r="H1131" s="10">
        <f t="shared" si="34"/>
        <v>4884</v>
      </c>
      <c r="I1131" s="7">
        <v>4055.0803672645538</v>
      </c>
      <c r="J1131" s="7">
        <f t="shared" si="35"/>
        <v>828.91963273544616</v>
      </c>
      <c r="K1131" s="1">
        <f>IF(B1131="North",28.6,
IF(B1131="South",13,
IF(B1131="East",22.6,
IF(B1131="West",19,
23.5))))</f>
        <v>22.6</v>
      </c>
      <c r="L1131" s="1">
        <f>IF(B1131="North",77.2,
IF(B1131="South",80.2,
IF(B1131="East",88.4,
IF(B1131="West",72.8,
78.9))))</f>
        <v>88.4</v>
      </c>
    </row>
    <row r="1132" spans="1:12" x14ac:dyDescent="0.25">
      <c r="A1132" s="5">
        <v>45491</v>
      </c>
      <c r="B1132" s="1" t="s">
        <v>10</v>
      </c>
      <c r="C1132" s="1" t="s">
        <v>24</v>
      </c>
      <c r="D1132" s="1" t="s">
        <v>29</v>
      </c>
      <c r="E1132" s="10">
        <v>18</v>
      </c>
      <c r="F1132" s="10">
        <v>190</v>
      </c>
      <c r="G1132" s="1" t="s">
        <v>35</v>
      </c>
      <c r="H1132" s="10">
        <f t="shared" si="34"/>
        <v>3420</v>
      </c>
      <c r="I1132" s="7">
        <v>2413.692831972061</v>
      </c>
      <c r="J1132" s="7">
        <f t="shared" si="35"/>
        <v>1006.307168027939</v>
      </c>
      <c r="K1132" s="1">
        <f>IF(B1132="North",28.6,
IF(B1132="South",13,
IF(B1132="East",22.6,
IF(B1132="West",19,
23.5))))</f>
        <v>28.6</v>
      </c>
      <c r="L1132" s="1">
        <f>IF(B1132="North",77.2,
IF(B1132="South",80.2,
IF(B1132="East",88.4,
IF(B1132="West",72.8,
78.9))))</f>
        <v>77.2</v>
      </c>
    </row>
    <row r="1133" spans="1:12" x14ac:dyDescent="0.25">
      <c r="A1133" s="5">
        <v>45314</v>
      </c>
      <c r="B1133" s="1" t="s">
        <v>13</v>
      </c>
      <c r="C1133" s="1" t="s">
        <v>19</v>
      </c>
      <c r="D1133" s="1" t="s">
        <v>32</v>
      </c>
      <c r="E1133" s="10">
        <v>17</v>
      </c>
      <c r="F1133" s="10">
        <v>1516</v>
      </c>
      <c r="G1133" s="1" t="s">
        <v>35</v>
      </c>
      <c r="H1133" s="10">
        <f t="shared" si="34"/>
        <v>25772</v>
      </c>
      <c r="I1133" s="7">
        <v>22342.19580751536</v>
      </c>
      <c r="J1133" s="7">
        <f t="shared" si="35"/>
        <v>3429.8041924846402</v>
      </c>
      <c r="K1133" s="1">
        <f>IF(B1133="North",28.6,
IF(B1133="South",13,
IF(B1133="East",22.6,
IF(B1133="West",19,
23.5))))</f>
        <v>13</v>
      </c>
      <c r="L1133" s="1">
        <f>IF(B1133="North",77.2,
IF(B1133="South",80.2,
IF(B1133="East",88.4,
IF(B1133="West",72.8,
78.9))))</f>
        <v>80.2</v>
      </c>
    </row>
    <row r="1134" spans="1:12" x14ac:dyDescent="0.25">
      <c r="A1134" s="5">
        <v>45594</v>
      </c>
      <c r="B1134" s="1" t="s">
        <v>13</v>
      </c>
      <c r="C1134" s="1" t="s">
        <v>23</v>
      </c>
      <c r="D1134" s="1" t="s">
        <v>27</v>
      </c>
      <c r="E1134" s="10">
        <v>11</v>
      </c>
      <c r="F1134" s="10">
        <v>1657</v>
      </c>
      <c r="G1134" s="1" t="s">
        <v>34</v>
      </c>
      <c r="H1134" s="10">
        <f t="shared" si="34"/>
        <v>18227</v>
      </c>
      <c r="I1134" s="7">
        <v>13096.409943739931</v>
      </c>
      <c r="J1134" s="7">
        <f t="shared" si="35"/>
        <v>5130.5900562600691</v>
      </c>
      <c r="K1134" s="1">
        <f>IF(B1134="North",28.6,
IF(B1134="South",13,
IF(B1134="East",22.6,
IF(B1134="West",19,
23.5))))</f>
        <v>13</v>
      </c>
      <c r="L1134" s="1">
        <f>IF(B1134="North",77.2,
IF(B1134="South",80.2,
IF(B1134="East",88.4,
IF(B1134="West",72.8,
78.9))))</f>
        <v>80.2</v>
      </c>
    </row>
    <row r="1135" spans="1:12" x14ac:dyDescent="0.25">
      <c r="A1135" s="5">
        <v>45637</v>
      </c>
      <c r="B1135" s="1" t="s">
        <v>13</v>
      </c>
      <c r="C1135" s="1" t="s">
        <v>20</v>
      </c>
      <c r="D1135" s="1" t="s">
        <v>27</v>
      </c>
      <c r="E1135" s="10">
        <v>3</v>
      </c>
      <c r="F1135" s="10">
        <v>901</v>
      </c>
      <c r="G1135" s="1" t="s">
        <v>33</v>
      </c>
      <c r="H1135" s="10">
        <f t="shared" si="34"/>
        <v>2703</v>
      </c>
      <c r="I1135" s="7">
        <v>2203.7493637170669</v>
      </c>
      <c r="J1135" s="7">
        <f t="shared" si="35"/>
        <v>499.2506362829331</v>
      </c>
      <c r="K1135" s="1">
        <f>IF(B1135="North",28.6,
IF(B1135="South",13,
IF(B1135="East",22.6,
IF(B1135="West",19,
23.5))))</f>
        <v>13</v>
      </c>
      <c r="L1135" s="1">
        <f>IF(B1135="North",77.2,
IF(B1135="South",80.2,
IF(B1135="East",88.4,
IF(B1135="West",72.8,
78.9))))</f>
        <v>80.2</v>
      </c>
    </row>
    <row r="1136" spans="1:12" x14ac:dyDescent="0.25">
      <c r="A1136" s="5">
        <v>45593</v>
      </c>
      <c r="B1136" s="1" t="s">
        <v>10</v>
      </c>
      <c r="C1136" s="1" t="s">
        <v>18</v>
      </c>
      <c r="D1136" s="1" t="s">
        <v>28</v>
      </c>
      <c r="E1136" s="10">
        <v>17</v>
      </c>
      <c r="F1136" s="10">
        <v>209</v>
      </c>
      <c r="G1136" s="1" t="s">
        <v>34</v>
      </c>
      <c r="H1136" s="10">
        <f t="shared" si="34"/>
        <v>3553</v>
      </c>
      <c r="I1136" s="7">
        <v>3133.282017177844</v>
      </c>
      <c r="J1136" s="7">
        <f t="shared" si="35"/>
        <v>419.71798282215605</v>
      </c>
      <c r="K1136" s="1">
        <f>IF(B1136="North",28.6,
IF(B1136="South",13,
IF(B1136="East",22.6,
IF(B1136="West",19,
23.5))))</f>
        <v>28.6</v>
      </c>
      <c r="L1136" s="1">
        <f>IF(B1136="North",77.2,
IF(B1136="South",80.2,
IF(B1136="East",88.4,
IF(B1136="West",72.8,
78.9))))</f>
        <v>77.2</v>
      </c>
    </row>
    <row r="1137" spans="1:12" x14ac:dyDescent="0.25">
      <c r="A1137" s="5">
        <v>45654</v>
      </c>
      <c r="B1137" s="1" t="s">
        <v>13</v>
      </c>
      <c r="C1137" s="1" t="s">
        <v>18</v>
      </c>
      <c r="D1137" s="1" t="s">
        <v>28</v>
      </c>
      <c r="E1137" s="10">
        <v>1</v>
      </c>
      <c r="F1137" s="10">
        <v>1684</v>
      </c>
      <c r="G1137" s="1" t="s">
        <v>34</v>
      </c>
      <c r="H1137" s="10">
        <f t="shared" si="34"/>
        <v>1684</v>
      </c>
      <c r="I1137" s="7">
        <v>1339.3622180610439</v>
      </c>
      <c r="J1137" s="7">
        <f t="shared" si="35"/>
        <v>344.6377819389561</v>
      </c>
      <c r="K1137" s="1">
        <f>IF(B1137="North",28.6,
IF(B1137="South",13,
IF(B1137="East",22.6,
IF(B1137="West",19,
23.5))))</f>
        <v>13</v>
      </c>
      <c r="L1137" s="1">
        <f>IF(B1137="North",77.2,
IF(B1137="South",80.2,
IF(B1137="East",88.4,
IF(B1137="West",72.8,
78.9))))</f>
        <v>80.2</v>
      </c>
    </row>
    <row r="1138" spans="1:12" x14ac:dyDescent="0.25">
      <c r="A1138" s="5">
        <v>45509</v>
      </c>
      <c r="B1138" s="1" t="s">
        <v>10</v>
      </c>
      <c r="C1138" s="1" t="s">
        <v>18</v>
      </c>
      <c r="D1138" s="1" t="s">
        <v>36</v>
      </c>
      <c r="E1138" s="10">
        <v>15</v>
      </c>
      <c r="F1138" s="10">
        <v>1764</v>
      </c>
      <c r="G1138" s="1" t="s">
        <v>34</v>
      </c>
      <c r="H1138" s="10">
        <f t="shared" si="34"/>
        <v>26460</v>
      </c>
      <c r="I1138" s="7">
        <v>19158.2749945494</v>
      </c>
      <c r="J1138" s="7">
        <f t="shared" si="35"/>
        <v>7301.7250054506003</v>
      </c>
      <c r="K1138" s="1">
        <f>IF(B1138="North",28.6,
IF(B1138="South",13,
IF(B1138="East",22.6,
IF(B1138="West",19,
23.5))))</f>
        <v>28.6</v>
      </c>
      <c r="L1138" s="1">
        <f>IF(B1138="North",77.2,
IF(B1138="South",80.2,
IF(B1138="East",88.4,
IF(B1138="West",72.8,
78.9))))</f>
        <v>77.2</v>
      </c>
    </row>
    <row r="1139" spans="1:12" x14ac:dyDescent="0.25">
      <c r="A1139" s="5">
        <v>45432</v>
      </c>
      <c r="B1139" s="1" t="s">
        <v>12</v>
      </c>
      <c r="C1139" s="1" t="s">
        <v>20</v>
      </c>
      <c r="D1139" s="1" t="s">
        <v>29</v>
      </c>
      <c r="E1139" s="10">
        <v>9</v>
      </c>
      <c r="F1139" s="10">
        <v>684</v>
      </c>
      <c r="G1139" s="1" t="s">
        <v>33</v>
      </c>
      <c r="H1139" s="10">
        <f t="shared" si="34"/>
        <v>6156</v>
      </c>
      <c r="I1139" s="7">
        <v>4741.4729695938786</v>
      </c>
      <c r="J1139" s="7">
        <f t="shared" si="35"/>
        <v>1414.5270304061214</v>
      </c>
      <c r="K1139" s="1">
        <f>IF(B1139="North",28.6,
IF(B1139="South",13,
IF(B1139="East",22.6,
IF(B1139="West",19,
23.5))))</f>
        <v>22.6</v>
      </c>
      <c r="L1139" s="1">
        <f>IF(B1139="North",77.2,
IF(B1139="South",80.2,
IF(B1139="East",88.4,
IF(B1139="West",72.8,
78.9))))</f>
        <v>88.4</v>
      </c>
    </row>
    <row r="1140" spans="1:12" x14ac:dyDescent="0.25">
      <c r="A1140" s="5">
        <v>45395</v>
      </c>
      <c r="B1140" s="1" t="s">
        <v>10</v>
      </c>
      <c r="C1140" s="1" t="s">
        <v>19</v>
      </c>
      <c r="D1140" s="1" t="s">
        <v>29</v>
      </c>
      <c r="E1140" s="10">
        <v>15</v>
      </c>
      <c r="F1140" s="10">
        <v>439</v>
      </c>
      <c r="G1140" s="1" t="s">
        <v>35</v>
      </c>
      <c r="H1140" s="10">
        <f t="shared" si="34"/>
        <v>6585</v>
      </c>
      <c r="I1140" s="7">
        <v>5024.5759699645087</v>
      </c>
      <c r="J1140" s="7">
        <f t="shared" si="35"/>
        <v>1560.4240300354913</v>
      </c>
      <c r="K1140" s="1">
        <f>IF(B1140="North",28.6,
IF(B1140="South",13,
IF(B1140="East",22.6,
IF(B1140="West",19,
23.5))))</f>
        <v>28.6</v>
      </c>
      <c r="L1140" s="1">
        <f>IF(B1140="North",77.2,
IF(B1140="South",80.2,
IF(B1140="East",88.4,
IF(B1140="West",72.8,
78.9))))</f>
        <v>77.2</v>
      </c>
    </row>
    <row r="1141" spans="1:12" x14ac:dyDescent="0.25">
      <c r="A1141" s="5">
        <v>45501</v>
      </c>
      <c r="B1141" s="1" t="s">
        <v>12</v>
      </c>
      <c r="C1141" s="1" t="s">
        <v>22</v>
      </c>
      <c r="D1141" s="1" t="s">
        <v>25</v>
      </c>
      <c r="E1141" s="10">
        <v>3</v>
      </c>
      <c r="F1141" s="10">
        <v>1688</v>
      </c>
      <c r="G1141" s="1" t="s">
        <v>35</v>
      </c>
      <c r="H1141" s="10">
        <f t="shared" si="34"/>
        <v>5064</v>
      </c>
      <c r="I1141" s="7">
        <v>3926.8585996837892</v>
      </c>
      <c r="J1141" s="7">
        <f t="shared" si="35"/>
        <v>1137.1414003162108</v>
      </c>
      <c r="K1141" s="1">
        <f>IF(B1141="North",28.6,
IF(B1141="South",13,
IF(B1141="East",22.6,
IF(B1141="West",19,
23.5))))</f>
        <v>22.6</v>
      </c>
      <c r="L1141" s="1">
        <f>IF(B1141="North",77.2,
IF(B1141="South",80.2,
IF(B1141="East",88.4,
IF(B1141="West",72.8,
78.9))))</f>
        <v>88.4</v>
      </c>
    </row>
    <row r="1142" spans="1:12" x14ac:dyDescent="0.25">
      <c r="A1142" s="5">
        <v>45402</v>
      </c>
      <c r="B1142" s="1" t="s">
        <v>10</v>
      </c>
      <c r="C1142" s="1" t="s">
        <v>24</v>
      </c>
      <c r="D1142" s="1" t="s">
        <v>29</v>
      </c>
      <c r="E1142" s="10">
        <v>19</v>
      </c>
      <c r="F1142" s="10">
        <v>1078</v>
      </c>
      <c r="G1142" s="1" t="s">
        <v>35</v>
      </c>
      <c r="H1142" s="10">
        <f t="shared" si="34"/>
        <v>20482</v>
      </c>
      <c r="I1142" s="7">
        <v>13191.350083771809</v>
      </c>
      <c r="J1142" s="7">
        <f t="shared" si="35"/>
        <v>7290.6499162281907</v>
      </c>
      <c r="K1142" s="1">
        <f>IF(B1142="North",28.6,
IF(B1142="South",13,
IF(B1142="East",22.6,
IF(B1142="West",19,
23.5))))</f>
        <v>28.6</v>
      </c>
      <c r="L1142" s="1">
        <f>IF(B1142="North",77.2,
IF(B1142="South",80.2,
IF(B1142="East",88.4,
IF(B1142="West",72.8,
78.9))))</f>
        <v>77.2</v>
      </c>
    </row>
    <row r="1143" spans="1:12" x14ac:dyDescent="0.25">
      <c r="A1143" s="5">
        <v>45395</v>
      </c>
      <c r="B1143" s="1" t="s">
        <v>12</v>
      </c>
      <c r="C1143" s="1" t="s">
        <v>24</v>
      </c>
      <c r="D1143" s="1" t="s">
        <v>29</v>
      </c>
      <c r="E1143" s="10">
        <v>13</v>
      </c>
      <c r="F1143" s="10">
        <v>455</v>
      </c>
      <c r="G1143" s="1" t="s">
        <v>35</v>
      </c>
      <c r="H1143" s="10">
        <f t="shared" si="34"/>
        <v>5915</v>
      </c>
      <c r="I1143" s="7">
        <v>4788.5057863211241</v>
      </c>
      <c r="J1143" s="7">
        <f t="shared" si="35"/>
        <v>1126.4942136788759</v>
      </c>
      <c r="K1143" s="1">
        <f>IF(B1143="North",28.6,
IF(B1143="South",13,
IF(B1143="East",22.6,
IF(B1143="West",19,
23.5))))</f>
        <v>22.6</v>
      </c>
      <c r="L1143" s="1">
        <f>IF(B1143="North",77.2,
IF(B1143="South",80.2,
IF(B1143="East",88.4,
IF(B1143="West",72.8,
78.9))))</f>
        <v>88.4</v>
      </c>
    </row>
    <row r="1144" spans="1:12" x14ac:dyDescent="0.25">
      <c r="A1144" s="5">
        <v>45607</v>
      </c>
      <c r="B1144" s="1" t="s">
        <v>13</v>
      </c>
      <c r="C1144" s="1" t="s">
        <v>20</v>
      </c>
      <c r="D1144" s="1" t="s">
        <v>29</v>
      </c>
      <c r="E1144" s="10">
        <v>12</v>
      </c>
      <c r="F1144" s="10">
        <v>267</v>
      </c>
      <c r="G1144" s="1" t="s">
        <v>33</v>
      </c>
      <c r="H1144" s="10">
        <f t="shared" si="34"/>
        <v>3204</v>
      </c>
      <c r="I1144" s="7">
        <v>2061.815592728422</v>
      </c>
      <c r="J1144" s="7">
        <f t="shared" si="35"/>
        <v>1142.184407271578</v>
      </c>
      <c r="K1144" s="1">
        <f>IF(B1144="North",28.6,
IF(B1144="South",13,
IF(B1144="East",22.6,
IF(B1144="West",19,
23.5))))</f>
        <v>13</v>
      </c>
      <c r="L1144" s="1">
        <f>IF(B1144="North",77.2,
IF(B1144="South",80.2,
IF(B1144="East",88.4,
IF(B1144="West",72.8,
78.9))))</f>
        <v>80.2</v>
      </c>
    </row>
    <row r="1145" spans="1:12" x14ac:dyDescent="0.25">
      <c r="A1145" s="5">
        <v>45462</v>
      </c>
      <c r="B1145" s="1" t="s">
        <v>12</v>
      </c>
      <c r="C1145" s="1" t="s">
        <v>24</v>
      </c>
      <c r="D1145" s="1" t="s">
        <v>29</v>
      </c>
      <c r="E1145" s="10">
        <v>1</v>
      </c>
      <c r="F1145" s="10">
        <v>656</v>
      </c>
      <c r="G1145" s="1" t="s">
        <v>35</v>
      </c>
      <c r="H1145" s="10">
        <f t="shared" si="34"/>
        <v>656</v>
      </c>
      <c r="I1145" s="7">
        <v>396.47660283370641</v>
      </c>
      <c r="J1145" s="7">
        <f t="shared" si="35"/>
        <v>259.52339716629359</v>
      </c>
      <c r="K1145" s="1">
        <f>IF(B1145="North",28.6,
IF(B1145="South",13,
IF(B1145="East",22.6,
IF(B1145="West",19,
23.5))))</f>
        <v>22.6</v>
      </c>
      <c r="L1145" s="1">
        <f>IF(B1145="North",77.2,
IF(B1145="South",80.2,
IF(B1145="East",88.4,
IF(B1145="West",72.8,
78.9))))</f>
        <v>88.4</v>
      </c>
    </row>
    <row r="1146" spans="1:12" x14ac:dyDescent="0.25">
      <c r="A1146" s="5">
        <v>45647</v>
      </c>
      <c r="B1146" s="1" t="s">
        <v>13</v>
      </c>
      <c r="C1146" s="1" t="s">
        <v>18</v>
      </c>
      <c r="D1146" s="1" t="s">
        <v>32</v>
      </c>
      <c r="E1146" s="10">
        <v>17</v>
      </c>
      <c r="F1146" s="10">
        <v>1575</v>
      </c>
      <c r="G1146" s="1" t="s">
        <v>34</v>
      </c>
      <c r="H1146" s="10">
        <f t="shared" si="34"/>
        <v>26775</v>
      </c>
      <c r="I1146" s="7">
        <v>21083.546158744739</v>
      </c>
      <c r="J1146" s="7">
        <f t="shared" si="35"/>
        <v>5691.4538412552611</v>
      </c>
      <c r="K1146" s="1">
        <f>IF(B1146="North",28.6,
IF(B1146="South",13,
IF(B1146="East",22.6,
IF(B1146="West",19,
23.5))))</f>
        <v>13</v>
      </c>
      <c r="L1146" s="1">
        <f>IF(B1146="North",77.2,
IF(B1146="South",80.2,
IF(B1146="East",88.4,
IF(B1146="West",72.8,
78.9))))</f>
        <v>80.2</v>
      </c>
    </row>
    <row r="1147" spans="1:12" x14ac:dyDescent="0.25">
      <c r="A1147" s="5">
        <v>45615</v>
      </c>
      <c r="B1147" s="1" t="s">
        <v>13</v>
      </c>
      <c r="C1147" s="1" t="s">
        <v>21</v>
      </c>
      <c r="D1147" s="1" t="s">
        <v>29</v>
      </c>
      <c r="E1147" s="10">
        <v>13</v>
      </c>
      <c r="F1147" s="10">
        <v>1004</v>
      </c>
      <c r="G1147" s="1" t="s">
        <v>35</v>
      </c>
      <c r="H1147" s="10">
        <f t="shared" si="34"/>
        <v>13052</v>
      </c>
      <c r="I1147" s="7">
        <v>8288.9867832107448</v>
      </c>
      <c r="J1147" s="7">
        <f t="shared" si="35"/>
        <v>4763.0132167892552</v>
      </c>
      <c r="K1147" s="1">
        <f>IF(B1147="North",28.6,
IF(B1147="South",13,
IF(B1147="East",22.6,
IF(B1147="West",19,
23.5))))</f>
        <v>13</v>
      </c>
      <c r="L1147" s="1">
        <f>IF(B1147="North",77.2,
IF(B1147="South",80.2,
IF(B1147="East",88.4,
IF(B1147="West",72.8,
78.9))))</f>
        <v>80.2</v>
      </c>
    </row>
    <row r="1148" spans="1:12" x14ac:dyDescent="0.25">
      <c r="A1148" s="5">
        <v>45424</v>
      </c>
      <c r="B1148" s="1" t="s">
        <v>12</v>
      </c>
      <c r="C1148" s="1" t="s">
        <v>19</v>
      </c>
      <c r="D1148" s="1" t="s">
        <v>25</v>
      </c>
      <c r="E1148" s="10">
        <v>1</v>
      </c>
      <c r="F1148" s="10">
        <v>204</v>
      </c>
      <c r="G1148" s="1" t="s">
        <v>35</v>
      </c>
      <c r="H1148" s="10">
        <f t="shared" si="34"/>
        <v>204</v>
      </c>
      <c r="I1148" s="7">
        <v>169.54919216672991</v>
      </c>
      <c r="J1148" s="7">
        <f t="shared" si="35"/>
        <v>34.45080783327009</v>
      </c>
      <c r="K1148" s="1">
        <f>IF(B1148="North",28.6,
IF(B1148="South",13,
IF(B1148="East",22.6,
IF(B1148="West",19,
23.5))))</f>
        <v>22.6</v>
      </c>
      <c r="L1148" s="1">
        <f>IF(B1148="North",77.2,
IF(B1148="South",80.2,
IF(B1148="East",88.4,
IF(B1148="West",72.8,
78.9))))</f>
        <v>88.4</v>
      </c>
    </row>
    <row r="1149" spans="1:12" x14ac:dyDescent="0.25">
      <c r="A1149" s="5">
        <v>45584</v>
      </c>
      <c r="B1149" s="1" t="s">
        <v>10</v>
      </c>
      <c r="C1149" s="1" t="s">
        <v>22</v>
      </c>
      <c r="D1149" s="1" t="s">
        <v>31</v>
      </c>
      <c r="E1149" s="10">
        <v>10</v>
      </c>
      <c r="F1149" s="10">
        <v>249</v>
      </c>
      <c r="G1149" s="1" t="s">
        <v>35</v>
      </c>
      <c r="H1149" s="10">
        <f t="shared" si="34"/>
        <v>2490</v>
      </c>
      <c r="I1149" s="7">
        <v>2140.876567265113</v>
      </c>
      <c r="J1149" s="7">
        <f t="shared" si="35"/>
        <v>349.12343273488705</v>
      </c>
      <c r="K1149" s="1">
        <f>IF(B1149="North",28.6,
IF(B1149="South",13,
IF(B1149="East",22.6,
IF(B1149="West",19,
23.5))))</f>
        <v>28.6</v>
      </c>
      <c r="L1149" s="1">
        <f>IF(B1149="North",77.2,
IF(B1149="South",80.2,
IF(B1149="East",88.4,
IF(B1149="West",72.8,
78.9))))</f>
        <v>77.2</v>
      </c>
    </row>
    <row r="1150" spans="1:12" x14ac:dyDescent="0.25">
      <c r="A1150" s="5">
        <v>45619</v>
      </c>
      <c r="B1150" s="1" t="s">
        <v>36</v>
      </c>
      <c r="C1150" s="1" t="s">
        <v>21</v>
      </c>
      <c r="D1150" s="1" t="s">
        <v>31</v>
      </c>
      <c r="E1150" s="10">
        <v>15</v>
      </c>
      <c r="F1150" s="10">
        <v>245</v>
      </c>
      <c r="G1150" s="1" t="s">
        <v>35</v>
      </c>
      <c r="H1150" s="10">
        <f t="shared" si="34"/>
        <v>3675</v>
      </c>
      <c r="I1150" s="7">
        <v>3246.5723112880291</v>
      </c>
      <c r="J1150" s="7">
        <f t="shared" si="35"/>
        <v>428.42768871197086</v>
      </c>
      <c r="K1150" s="1">
        <f>IF(B1150="North",28.6,
IF(B1150="South",13,
IF(B1150="East",22.6,
IF(B1150="West",19,
23.5))))</f>
        <v>23.5</v>
      </c>
      <c r="L1150" s="1">
        <f>IF(B1150="North",77.2,
IF(B1150="South",80.2,
IF(B1150="East",88.4,
IF(B1150="West",72.8,
78.9))))</f>
        <v>78.900000000000006</v>
      </c>
    </row>
    <row r="1151" spans="1:12" x14ac:dyDescent="0.25">
      <c r="A1151" s="5">
        <v>45418</v>
      </c>
      <c r="B1151" s="1" t="s">
        <v>11</v>
      </c>
      <c r="C1151" s="1" t="s">
        <v>19</v>
      </c>
      <c r="D1151" s="1" t="s">
        <v>26</v>
      </c>
      <c r="E1151" s="10">
        <v>7</v>
      </c>
      <c r="F1151" s="10">
        <v>815</v>
      </c>
      <c r="G1151" s="1" t="s">
        <v>35</v>
      </c>
      <c r="H1151" s="10">
        <f t="shared" si="34"/>
        <v>5705</v>
      </c>
      <c r="I1151" s="7">
        <v>4560.2523220142893</v>
      </c>
      <c r="J1151" s="7">
        <f t="shared" si="35"/>
        <v>1144.7476779857107</v>
      </c>
      <c r="K1151" s="1">
        <f>IF(B1151="North",28.6,
IF(B1151="South",13,
IF(B1151="East",22.6,
IF(B1151="West",19,
23.5))))</f>
        <v>19</v>
      </c>
      <c r="L1151" s="1">
        <f>IF(B1151="North",77.2,
IF(B1151="South",80.2,
IF(B1151="East",88.4,
IF(B1151="West",72.8,
78.9))))</f>
        <v>72.8</v>
      </c>
    </row>
    <row r="1152" spans="1:12" x14ac:dyDescent="0.25">
      <c r="A1152" s="5">
        <v>45397</v>
      </c>
      <c r="B1152" s="1" t="s">
        <v>10</v>
      </c>
      <c r="C1152" s="1" t="s">
        <v>17</v>
      </c>
      <c r="D1152" s="1" t="s">
        <v>32</v>
      </c>
      <c r="E1152" s="10">
        <v>18</v>
      </c>
      <c r="F1152" s="10">
        <v>973</v>
      </c>
      <c r="G1152" s="1" t="s">
        <v>33</v>
      </c>
      <c r="H1152" s="10">
        <f t="shared" si="34"/>
        <v>17514</v>
      </c>
      <c r="I1152" s="7">
        <v>13041.002650234739</v>
      </c>
      <c r="J1152" s="7">
        <f t="shared" si="35"/>
        <v>4472.9973497652609</v>
      </c>
      <c r="K1152" s="1">
        <f>IF(B1152="North",28.6,
IF(B1152="South",13,
IF(B1152="East",22.6,
IF(B1152="West",19,
23.5))))</f>
        <v>28.6</v>
      </c>
      <c r="L1152" s="1">
        <f>IF(B1152="North",77.2,
IF(B1152="South",80.2,
IF(B1152="East",88.4,
IF(B1152="West",72.8,
78.9))))</f>
        <v>77.2</v>
      </c>
    </row>
    <row r="1153" spans="1:12" x14ac:dyDescent="0.25">
      <c r="A1153" s="5">
        <v>45383</v>
      </c>
      <c r="B1153" s="1" t="s">
        <v>11</v>
      </c>
      <c r="C1153" s="1" t="s">
        <v>23</v>
      </c>
      <c r="D1153" s="1" t="s">
        <v>28</v>
      </c>
      <c r="E1153" s="10">
        <v>16</v>
      </c>
      <c r="F1153" s="10">
        <v>398</v>
      </c>
      <c r="G1153" s="1" t="s">
        <v>34</v>
      </c>
      <c r="H1153" s="10">
        <f t="shared" si="34"/>
        <v>6368</v>
      </c>
      <c r="I1153" s="7">
        <v>4493.7977765803589</v>
      </c>
      <c r="J1153" s="7">
        <f t="shared" si="35"/>
        <v>1874.2022234196411</v>
      </c>
      <c r="K1153" s="1">
        <f>IF(B1153="North",28.6,
IF(B1153="South",13,
IF(B1153="East",22.6,
IF(B1153="West",19,
23.5))))</f>
        <v>19</v>
      </c>
      <c r="L1153" s="1">
        <f>IF(B1153="North",77.2,
IF(B1153="South",80.2,
IF(B1153="East",88.4,
IF(B1153="West",72.8,
78.9))))</f>
        <v>72.8</v>
      </c>
    </row>
    <row r="1154" spans="1:12" x14ac:dyDescent="0.25">
      <c r="A1154" s="5">
        <v>45578</v>
      </c>
      <c r="B1154" s="1" t="s">
        <v>10</v>
      </c>
      <c r="C1154" s="1" t="s">
        <v>17</v>
      </c>
      <c r="D1154" s="1" t="s">
        <v>30</v>
      </c>
      <c r="E1154" s="10">
        <v>14</v>
      </c>
      <c r="F1154" s="10">
        <v>1290</v>
      </c>
      <c r="G1154" s="1" t="s">
        <v>33</v>
      </c>
      <c r="H1154" s="10">
        <f t="shared" si="34"/>
        <v>18060</v>
      </c>
      <c r="I1154" s="7">
        <v>13495.83215921794</v>
      </c>
      <c r="J1154" s="7">
        <f t="shared" si="35"/>
        <v>4564.16784078206</v>
      </c>
      <c r="K1154" s="1">
        <f>IF(B1154="North",28.6,
IF(B1154="South",13,
IF(B1154="East",22.6,
IF(B1154="West",19,
23.5))))</f>
        <v>28.6</v>
      </c>
      <c r="L1154" s="1">
        <f>IF(B1154="North",77.2,
IF(B1154="South",80.2,
IF(B1154="East",88.4,
IF(B1154="West",72.8,
78.9))))</f>
        <v>77.2</v>
      </c>
    </row>
    <row r="1155" spans="1:12" x14ac:dyDescent="0.25">
      <c r="A1155" s="5">
        <v>45342</v>
      </c>
      <c r="B1155" s="1" t="s">
        <v>10</v>
      </c>
      <c r="C1155" s="1" t="s">
        <v>18</v>
      </c>
      <c r="D1155" s="1" t="s">
        <v>29</v>
      </c>
      <c r="E1155" s="10">
        <v>18</v>
      </c>
      <c r="F1155" s="10">
        <v>1836</v>
      </c>
      <c r="G1155" s="1" t="s">
        <v>34</v>
      </c>
      <c r="H1155" s="10">
        <f t="shared" ref="H1155:H1218" si="37">E1155*F1155</f>
        <v>33048</v>
      </c>
      <c r="I1155" s="7">
        <v>21716.028132855488</v>
      </c>
      <c r="J1155" s="7">
        <f t="shared" ref="J1155:J1218" si="38">H1155-I1155</f>
        <v>11331.971867144512</v>
      </c>
      <c r="K1155" s="1">
        <f>IF(B1155="North",28.6,
IF(B1155="South",13,
IF(B1155="East",22.6,
IF(B1155="West",19,
23.5))))</f>
        <v>28.6</v>
      </c>
      <c r="L1155" s="1">
        <f>IF(B1155="North",77.2,
IF(B1155="South",80.2,
IF(B1155="East",88.4,
IF(B1155="West",72.8,
78.9))))</f>
        <v>77.2</v>
      </c>
    </row>
    <row r="1156" spans="1:12" x14ac:dyDescent="0.25">
      <c r="A1156" s="5">
        <v>45320</v>
      </c>
      <c r="B1156" s="1" t="s">
        <v>13</v>
      </c>
      <c r="C1156" s="1" t="s">
        <v>24</v>
      </c>
      <c r="D1156" s="1" t="s">
        <v>26</v>
      </c>
      <c r="E1156" s="10">
        <v>7</v>
      </c>
      <c r="F1156" s="10">
        <v>745</v>
      </c>
      <c r="G1156" s="1" t="s">
        <v>35</v>
      </c>
      <c r="H1156" s="10">
        <f t="shared" si="37"/>
        <v>5215</v>
      </c>
      <c r="I1156" s="7">
        <v>3674.1072324660358</v>
      </c>
      <c r="J1156" s="7">
        <f t="shared" si="38"/>
        <v>1540.8927675339642</v>
      </c>
      <c r="K1156" s="1">
        <f>IF(B1156="North",28.6,
IF(B1156="South",13,
IF(B1156="East",22.6,
IF(B1156="West",19,
23.5))))</f>
        <v>13</v>
      </c>
      <c r="L1156" s="1">
        <f>IF(B1156="North",77.2,
IF(B1156="South",80.2,
IF(B1156="East",88.4,
IF(B1156="West",72.8,
78.9))))</f>
        <v>80.2</v>
      </c>
    </row>
    <row r="1157" spans="1:12" x14ac:dyDescent="0.25">
      <c r="A1157" s="5">
        <v>45587</v>
      </c>
      <c r="B1157" s="1" t="s">
        <v>11</v>
      </c>
      <c r="C1157" s="1" t="s">
        <v>17</v>
      </c>
      <c r="D1157" s="1" t="s">
        <v>30</v>
      </c>
      <c r="E1157" s="10">
        <v>17</v>
      </c>
      <c r="F1157" s="10">
        <v>822</v>
      </c>
      <c r="G1157" s="1" t="s">
        <v>33</v>
      </c>
      <c r="H1157" s="10">
        <f t="shared" si="37"/>
        <v>13974</v>
      </c>
      <c r="I1157" s="7">
        <v>11394.10834621118</v>
      </c>
      <c r="J1157" s="7">
        <f t="shared" si="38"/>
        <v>2579.8916537888199</v>
      </c>
      <c r="K1157" s="1">
        <f>IF(B1157="North",28.6,
IF(B1157="South",13,
IF(B1157="East",22.6,
IF(B1157="West",19,
23.5))))</f>
        <v>19</v>
      </c>
      <c r="L1157" s="1">
        <f>IF(B1157="North",77.2,
IF(B1157="South",80.2,
IF(B1157="East",88.4,
IF(B1157="West",72.8,
78.9))))</f>
        <v>72.8</v>
      </c>
    </row>
    <row r="1158" spans="1:12" x14ac:dyDescent="0.25">
      <c r="A1158" s="5">
        <v>45588</v>
      </c>
      <c r="B1158" s="1" t="s">
        <v>10</v>
      </c>
      <c r="C1158" s="1" t="s">
        <v>24</v>
      </c>
      <c r="D1158" s="1" t="s">
        <v>25</v>
      </c>
      <c r="E1158" s="10">
        <v>18</v>
      </c>
      <c r="F1158" s="10">
        <v>1171</v>
      </c>
      <c r="G1158" s="1" t="s">
        <v>35</v>
      </c>
      <c r="H1158" s="10">
        <f t="shared" si="37"/>
        <v>21078</v>
      </c>
      <c r="I1158" s="7">
        <v>14021.65241567008</v>
      </c>
      <c r="J1158" s="7">
        <f t="shared" si="38"/>
        <v>7056.3475843299202</v>
      </c>
      <c r="K1158" s="1">
        <f>IF(B1158="North",28.6,
IF(B1158="South",13,
IF(B1158="East",22.6,
IF(B1158="West",19,
23.5))))</f>
        <v>28.6</v>
      </c>
      <c r="L1158" s="1">
        <f>IF(B1158="North",77.2,
IF(B1158="South",80.2,
IF(B1158="East",88.4,
IF(B1158="West",72.8,
78.9))))</f>
        <v>77.2</v>
      </c>
    </row>
    <row r="1159" spans="1:12" x14ac:dyDescent="0.25">
      <c r="A1159" s="5">
        <v>45505</v>
      </c>
      <c r="B1159" s="1" t="s">
        <v>11</v>
      </c>
      <c r="C1159" s="1" t="s">
        <v>21</v>
      </c>
      <c r="D1159" s="1" t="s">
        <v>31</v>
      </c>
      <c r="E1159" s="10">
        <v>12</v>
      </c>
      <c r="F1159" s="10">
        <v>737</v>
      </c>
      <c r="G1159" s="1" t="s">
        <v>35</v>
      </c>
      <c r="H1159" s="10">
        <f t="shared" si="37"/>
        <v>8844</v>
      </c>
      <c r="I1159" s="7">
        <v>6007.0229243693684</v>
      </c>
      <c r="J1159" s="7">
        <f t="shared" si="38"/>
        <v>2836.9770756306316</v>
      </c>
      <c r="K1159" s="1">
        <f>IF(B1159="North",28.6,
IF(B1159="South",13,
IF(B1159="East",22.6,
IF(B1159="West",19,
23.5))))</f>
        <v>19</v>
      </c>
      <c r="L1159" s="1">
        <f>IF(B1159="North",77.2,
IF(B1159="South",80.2,
IF(B1159="East",88.4,
IF(B1159="West",72.8,
78.9))))</f>
        <v>72.8</v>
      </c>
    </row>
    <row r="1160" spans="1:12" x14ac:dyDescent="0.25">
      <c r="A1160" s="5">
        <v>45558</v>
      </c>
      <c r="B1160" s="1" t="s">
        <v>13</v>
      </c>
      <c r="C1160" s="1" t="s">
        <v>22</v>
      </c>
      <c r="D1160" s="1" t="s">
        <v>26</v>
      </c>
      <c r="E1160" s="10">
        <v>8</v>
      </c>
      <c r="F1160" s="10">
        <v>338</v>
      </c>
      <c r="G1160" s="1" t="s">
        <v>35</v>
      </c>
      <c r="H1160" s="10">
        <f t="shared" si="37"/>
        <v>2704</v>
      </c>
      <c r="I1160" s="7">
        <v>2230.2550810302068</v>
      </c>
      <c r="J1160" s="7">
        <f t="shared" si="38"/>
        <v>473.74491896979316</v>
      </c>
      <c r="K1160" s="1">
        <f>IF(B1160="North",28.6,
IF(B1160="South",13,
IF(B1160="East",22.6,
IF(B1160="West",19,
23.5))))</f>
        <v>13</v>
      </c>
      <c r="L1160" s="1">
        <f>IF(B1160="North",77.2,
IF(B1160="South",80.2,
IF(B1160="East",88.4,
IF(B1160="West",72.8,
78.9))))</f>
        <v>80.2</v>
      </c>
    </row>
    <row r="1161" spans="1:12" x14ac:dyDescent="0.25">
      <c r="A1161" s="5">
        <v>45548</v>
      </c>
      <c r="B1161" s="1" t="s">
        <v>13</v>
      </c>
      <c r="C1161" s="1" t="s">
        <v>22</v>
      </c>
      <c r="D1161" s="1" t="s">
        <v>25</v>
      </c>
      <c r="E1161" s="10">
        <v>2</v>
      </c>
      <c r="F1161" s="10">
        <v>1130</v>
      </c>
      <c r="G1161" s="1" t="s">
        <v>35</v>
      </c>
      <c r="H1161" s="10">
        <f t="shared" si="37"/>
        <v>2260</v>
      </c>
      <c r="I1161" s="7">
        <v>1476.5727644908559</v>
      </c>
      <c r="J1161" s="7">
        <f t="shared" si="38"/>
        <v>783.42723550914411</v>
      </c>
      <c r="K1161" s="1">
        <f>IF(B1161="North",28.6,
IF(B1161="South",13,
IF(B1161="East",22.6,
IF(B1161="West",19,
23.5))))</f>
        <v>13</v>
      </c>
      <c r="L1161" s="1">
        <f>IF(B1161="North",77.2,
IF(B1161="South",80.2,
IF(B1161="East",88.4,
IF(B1161="West",72.8,
78.9))))</f>
        <v>80.2</v>
      </c>
    </row>
    <row r="1162" spans="1:12" x14ac:dyDescent="0.25">
      <c r="A1162" s="5">
        <v>45593</v>
      </c>
      <c r="B1162" s="1" t="s">
        <v>11</v>
      </c>
      <c r="C1162" s="1" t="s">
        <v>22</v>
      </c>
      <c r="D1162" s="1" t="s">
        <v>26</v>
      </c>
      <c r="E1162" s="10">
        <v>7</v>
      </c>
      <c r="F1162" s="10">
        <v>563</v>
      </c>
      <c r="G1162" s="1" t="s">
        <v>35</v>
      </c>
      <c r="H1162" s="10">
        <f t="shared" si="37"/>
        <v>3941</v>
      </c>
      <c r="I1162" s="7">
        <v>2655.312893487474</v>
      </c>
      <c r="J1162" s="7">
        <f t="shared" si="38"/>
        <v>1285.687106512526</v>
      </c>
      <c r="K1162" s="1">
        <f>IF(B1162="North",28.6,
IF(B1162="South",13,
IF(B1162="East",22.6,
IF(B1162="West",19,
23.5))))</f>
        <v>19</v>
      </c>
      <c r="L1162" s="1">
        <f>IF(B1162="North",77.2,
IF(B1162="South",80.2,
IF(B1162="East",88.4,
IF(B1162="West",72.8,
78.9))))</f>
        <v>72.8</v>
      </c>
    </row>
    <row r="1163" spans="1:12" x14ac:dyDescent="0.25">
      <c r="A1163" s="5">
        <v>45392</v>
      </c>
      <c r="B1163" s="1" t="s">
        <v>36</v>
      </c>
      <c r="C1163" s="1" t="s">
        <v>18</v>
      </c>
      <c r="D1163" s="1" t="s">
        <v>27</v>
      </c>
      <c r="E1163" s="10">
        <v>4</v>
      </c>
      <c r="F1163" s="10">
        <v>552</v>
      </c>
      <c r="G1163" s="1" t="s">
        <v>34</v>
      </c>
      <c r="H1163" s="10">
        <f t="shared" si="37"/>
        <v>2208</v>
      </c>
      <c r="I1163" s="7">
        <v>1336.423505613724</v>
      </c>
      <c r="J1163" s="7">
        <f t="shared" si="38"/>
        <v>871.57649438627595</v>
      </c>
      <c r="K1163" s="1">
        <f>IF(B1163="North",28.6,
IF(B1163="South",13,
IF(B1163="East",22.6,
IF(B1163="West",19,
23.5))))</f>
        <v>23.5</v>
      </c>
      <c r="L1163" s="1">
        <f>IF(B1163="North",77.2,
IF(B1163="South",80.2,
IF(B1163="East",88.4,
IF(B1163="West",72.8,
78.9))))</f>
        <v>78.900000000000006</v>
      </c>
    </row>
    <row r="1164" spans="1:12" x14ac:dyDescent="0.25">
      <c r="A1164" s="5">
        <v>45637</v>
      </c>
      <c r="B1164" s="1" t="s">
        <v>12</v>
      </c>
      <c r="C1164" s="1" t="s">
        <v>24</v>
      </c>
      <c r="D1164" s="1" t="s">
        <v>25</v>
      </c>
      <c r="E1164" s="10">
        <v>18</v>
      </c>
      <c r="F1164" s="10">
        <v>883</v>
      </c>
      <c r="G1164" s="1" t="s">
        <v>35</v>
      </c>
      <c r="H1164" s="10">
        <f t="shared" si="37"/>
        <v>15894</v>
      </c>
      <c r="I1164" s="7">
        <v>12969.7500369033</v>
      </c>
      <c r="J1164" s="7">
        <f t="shared" si="38"/>
        <v>2924.2499630966995</v>
      </c>
      <c r="K1164" s="1">
        <f>IF(B1164="North",28.6,
IF(B1164="South",13,
IF(B1164="East",22.6,
IF(B1164="West",19,
23.5))))</f>
        <v>22.6</v>
      </c>
      <c r="L1164" s="1">
        <f>IF(B1164="North",77.2,
IF(B1164="South",80.2,
IF(B1164="East",88.4,
IF(B1164="West",72.8,
78.9))))</f>
        <v>88.4</v>
      </c>
    </row>
    <row r="1165" spans="1:12" x14ac:dyDescent="0.25">
      <c r="A1165" s="5">
        <v>45401</v>
      </c>
      <c r="B1165" s="1" t="s">
        <v>12</v>
      </c>
      <c r="C1165" s="1" t="s">
        <v>17</v>
      </c>
      <c r="D1165" s="1" t="s">
        <v>31</v>
      </c>
      <c r="E1165" s="10">
        <v>6</v>
      </c>
      <c r="F1165" s="10">
        <v>996</v>
      </c>
      <c r="G1165" s="1" t="s">
        <v>33</v>
      </c>
      <c r="H1165" s="10">
        <f t="shared" si="37"/>
        <v>5976</v>
      </c>
      <c r="I1165" s="7">
        <v>4693.3775123475016</v>
      </c>
      <c r="J1165" s="7">
        <f t="shared" si="38"/>
        <v>1282.6224876524984</v>
      </c>
      <c r="K1165" s="1">
        <f>IF(B1165="North",28.6,
IF(B1165="South",13,
IF(B1165="East",22.6,
IF(B1165="West",19,
23.5))))</f>
        <v>22.6</v>
      </c>
      <c r="L1165" s="1">
        <f>IF(B1165="North",77.2,
IF(B1165="South",80.2,
IF(B1165="East",88.4,
IF(B1165="West",72.8,
78.9))))</f>
        <v>88.4</v>
      </c>
    </row>
    <row r="1166" spans="1:12" x14ac:dyDescent="0.25">
      <c r="A1166" s="5">
        <v>45473</v>
      </c>
      <c r="B1166" s="1" t="s">
        <v>13</v>
      </c>
      <c r="C1166" s="1" t="s">
        <v>22</v>
      </c>
      <c r="D1166" s="1" t="s">
        <v>31</v>
      </c>
      <c r="E1166" s="10">
        <v>9</v>
      </c>
      <c r="F1166" s="10">
        <v>470</v>
      </c>
      <c r="G1166" s="1" t="s">
        <v>35</v>
      </c>
      <c r="H1166" s="10">
        <f t="shared" si="37"/>
        <v>4230</v>
      </c>
      <c r="I1166" s="7">
        <v>3419.1751392371461</v>
      </c>
      <c r="J1166" s="7">
        <f t="shared" si="38"/>
        <v>810.82486076285386</v>
      </c>
      <c r="K1166" s="1">
        <f>IF(B1166="North",28.6,
IF(B1166="South",13,
IF(B1166="East",22.6,
IF(B1166="West",19,
23.5))))</f>
        <v>13</v>
      </c>
      <c r="L1166" s="1">
        <f>IF(B1166="North",77.2,
IF(B1166="South",80.2,
IF(B1166="East",88.4,
IF(B1166="West",72.8,
78.9))))</f>
        <v>80.2</v>
      </c>
    </row>
    <row r="1167" spans="1:12" x14ac:dyDescent="0.25">
      <c r="A1167" s="5">
        <v>45604</v>
      </c>
      <c r="B1167" s="1" t="s">
        <v>12</v>
      </c>
      <c r="C1167" s="1" t="s">
        <v>17</v>
      </c>
      <c r="D1167" s="1" t="s">
        <v>32</v>
      </c>
      <c r="E1167" s="10">
        <v>9</v>
      </c>
      <c r="F1167" s="10">
        <v>1672</v>
      </c>
      <c r="G1167" s="1" t="s">
        <v>33</v>
      </c>
      <c r="H1167" s="10">
        <f t="shared" si="37"/>
        <v>15048</v>
      </c>
      <c r="I1167" s="7">
        <v>9996.3612485620361</v>
      </c>
      <c r="J1167" s="7">
        <f t="shared" si="38"/>
        <v>5051.6387514379639</v>
      </c>
      <c r="K1167" s="1">
        <f>IF(B1167="North",28.6,
IF(B1167="South",13,
IF(B1167="East",22.6,
IF(B1167="West",19,
23.5))))</f>
        <v>22.6</v>
      </c>
      <c r="L1167" s="1">
        <f>IF(B1167="North",77.2,
IF(B1167="South",80.2,
IF(B1167="East",88.4,
IF(B1167="West",72.8,
78.9))))</f>
        <v>88.4</v>
      </c>
    </row>
    <row r="1168" spans="1:12" x14ac:dyDescent="0.25">
      <c r="A1168" s="5">
        <v>45292</v>
      </c>
      <c r="B1168" s="1" t="s">
        <v>14</v>
      </c>
      <c r="C1168" s="1" t="s">
        <v>24</v>
      </c>
      <c r="D1168" s="1" t="s">
        <v>26</v>
      </c>
      <c r="E1168" s="10">
        <v>14</v>
      </c>
      <c r="F1168" s="10">
        <v>586</v>
      </c>
      <c r="G1168" s="1" t="s">
        <v>35</v>
      </c>
      <c r="H1168" s="10">
        <f t="shared" si="37"/>
        <v>8204</v>
      </c>
      <c r="I1168" s="7">
        <v>6614.1707728594374</v>
      </c>
      <c r="J1168" s="7">
        <f t="shared" si="38"/>
        <v>1589.8292271405626</v>
      </c>
      <c r="K1168" s="1">
        <f>IF(B1168="North",28.6,
IF(B1168="South",13,
IF(B1168="East",22.6,
IF(B1168="West",19,
23.5))))</f>
        <v>13</v>
      </c>
      <c r="L1168" s="1">
        <f>IF(B1168="North",77.2,
IF(B1168="South",80.2,
IF(B1168="East",88.4,
IF(B1168="West",72.8,
78.9))))</f>
        <v>80.2</v>
      </c>
    </row>
    <row r="1169" spans="1:12" x14ac:dyDescent="0.25">
      <c r="A1169" s="5">
        <v>45610</v>
      </c>
      <c r="B1169" s="1" t="s">
        <v>36</v>
      </c>
      <c r="C1169" s="1" t="s">
        <v>18</v>
      </c>
      <c r="D1169" s="1" t="s">
        <v>29</v>
      </c>
      <c r="E1169" s="10">
        <v>8</v>
      </c>
      <c r="F1169" s="10">
        <v>1334</v>
      </c>
      <c r="G1169" s="1" t="s">
        <v>34</v>
      </c>
      <c r="H1169" s="10">
        <f t="shared" si="37"/>
        <v>10672</v>
      </c>
      <c r="I1169" s="7">
        <v>8312.5593792067302</v>
      </c>
      <c r="J1169" s="7">
        <f t="shared" si="38"/>
        <v>2359.4406207932698</v>
      </c>
      <c r="K1169" s="1">
        <f>IF(B1169="North",28.6,
IF(B1169="South",13,
IF(B1169="East",22.6,
IF(B1169="West",19,
23.5))))</f>
        <v>23.5</v>
      </c>
      <c r="L1169" s="1">
        <f>IF(B1169="North",77.2,
IF(B1169="South",80.2,
IF(B1169="East",88.4,
IF(B1169="West",72.8,
78.9))))</f>
        <v>78.900000000000006</v>
      </c>
    </row>
    <row r="1170" spans="1:12" x14ac:dyDescent="0.25">
      <c r="A1170" s="5">
        <v>45346</v>
      </c>
      <c r="B1170" s="1" t="s">
        <v>10</v>
      </c>
      <c r="C1170" s="1" t="s">
        <v>21</v>
      </c>
      <c r="D1170" s="1" t="s">
        <v>31</v>
      </c>
      <c r="E1170" s="10">
        <v>19</v>
      </c>
      <c r="F1170" s="10">
        <v>264</v>
      </c>
      <c r="G1170" s="1" t="s">
        <v>35</v>
      </c>
      <c r="H1170" s="10">
        <f t="shared" si="37"/>
        <v>5016</v>
      </c>
      <c r="I1170" s="7">
        <v>3560.54185913327</v>
      </c>
      <c r="J1170" s="7">
        <f t="shared" si="38"/>
        <v>1455.45814086673</v>
      </c>
      <c r="K1170" s="1">
        <f>IF(B1170="North",28.6,
IF(B1170="South",13,
IF(B1170="East",22.6,
IF(B1170="West",19,
23.5))))</f>
        <v>28.6</v>
      </c>
      <c r="L1170" s="1">
        <f>IF(B1170="North",77.2,
IF(B1170="South",80.2,
IF(B1170="East",88.4,
IF(B1170="West",72.8,
78.9))))</f>
        <v>77.2</v>
      </c>
    </row>
    <row r="1171" spans="1:12" x14ac:dyDescent="0.25">
      <c r="A1171" s="5">
        <v>45440</v>
      </c>
      <c r="B1171" s="1" t="s">
        <v>11</v>
      </c>
      <c r="C1171" s="1" t="s">
        <v>18</v>
      </c>
      <c r="D1171" s="1" t="s">
        <v>26</v>
      </c>
      <c r="E1171" s="10">
        <v>3</v>
      </c>
      <c r="F1171" s="10">
        <v>1248</v>
      </c>
      <c r="G1171" s="1" t="s">
        <v>34</v>
      </c>
      <c r="H1171" s="10">
        <f t="shared" si="37"/>
        <v>3744</v>
      </c>
      <c r="I1171" s="7">
        <v>2738.1659516277632</v>
      </c>
      <c r="J1171" s="7">
        <f t="shared" si="38"/>
        <v>1005.8340483722368</v>
      </c>
      <c r="K1171" s="1">
        <f>IF(B1171="North",28.6,
IF(B1171="South",13,
IF(B1171="East",22.6,
IF(B1171="West",19,
23.5))))</f>
        <v>19</v>
      </c>
      <c r="L1171" s="1">
        <f>IF(B1171="North",77.2,
IF(B1171="South",80.2,
IF(B1171="East",88.4,
IF(B1171="West",72.8,
78.9))))</f>
        <v>72.8</v>
      </c>
    </row>
    <row r="1172" spans="1:12" x14ac:dyDescent="0.25">
      <c r="A1172" s="5">
        <v>45600</v>
      </c>
      <c r="B1172" s="1" t="s">
        <v>13</v>
      </c>
      <c r="C1172" s="1" t="s">
        <v>17</v>
      </c>
      <c r="D1172" s="1" t="s">
        <v>32</v>
      </c>
      <c r="E1172" s="10">
        <v>18</v>
      </c>
      <c r="F1172" s="10">
        <v>1460</v>
      </c>
      <c r="G1172" s="1" t="s">
        <v>33</v>
      </c>
      <c r="H1172" s="10">
        <f t="shared" si="37"/>
        <v>26280</v>
      </c>
      <c r="I1172" s="7">
        <v>20245.485247807552</v>
      </c>
      <c r="J1172" s="7">
        <f t="shared" si="38"/>
        <v>6034.5147521924482</v>
      </c>
      <c r="K1172" s="1">
        <f>IF(B1172="North",28.6,
IF(B1172="South",13,
IF(B1172="East",22.6,
IF(B1172="West",19,
23.5))))</f>
        <v>13</v>
      </c>
      <c r="L1172" s="1">
        <f>IF(B1172="North",77.2,
IF(B1172="South",80.2,
IF(B1172="East",88.4,
IF(B1172="West",72.8,
78.9))))</f>
        <v>80.2</v>
      </c>
    </row>
    <row r="1173" spans="1:12" x14ac:dyDescent="0.25">
      <c r="A1173" s="5">
        <v>45428</v>
      </c>
      <c r="B1173" s="1" t="s">
        <v>10</v>
      </c>
      <c r="C1173" s="1" t="s">
        <v>18</v>
      </c>
      <c r="D1173" s="1" t="s">
        <v>29</v>
      </c>
      <c r="E1173" s="10">
        <v>5</v>
      </c>
      <c r="F1173" s="10">
        <v>291</v>
      </c>
      <c r="G1173" s="1" t="s">
        <v>34</v>
      </c>
      <c r="H1173" s="10">
        <f t="shared" si="37"/>
        <v>1455</v>
      </c>
      <c r="I1173" s="7">
        <v>1088.322034862219</v>
      </c>
      <c r="J1173" s="7">
        <f t="shared" si="38"/>
        <v>366.67796513778103</v>
      </c>
      <c r="K1173" s="1">
        <f>IF(B1173="North",28.6,
IF(B1173="South",13,
IF(B1173="East",22.6,
IF(B1173="West",19,
23.5))))</f>
        <v>28.6</v>
      </c>
      <c r="L1173" s="1">
        <f>IF(B1173="North",77.2,
IF(B1173="South",80.2,
IF(B1173="East",88.4,
IF(B1173="West",72.8,
78.9))))</f>
        <v>77.2</v>
      </c>
    </row>
    <row r="1174" spans="1:12" x14ac:dyDescent="0.25">
      <c r="A1174" s="5">
        <v>45493</v>
      </c>
      <c r="B1174" s="1" t="s">
        <v>13</v>
      </c>
      <c r="C1174" s="1" t="s">
        <v>18</v>
      </c>
      <c r="D1174" s="1" t="s">
        <v>25</v>
      </c>
      <c r="E1174" s="10">
        <v>14</v>
      </c>
      <c r="F1174" s="10">
        <v>829</v>
      </c>
      <c r="G1174" s="1" t="s">
        <v>34</v>
      </c>
      <c r="H1174" s="10">
        <f t="shared" si="37"/>
        <v>11606</v>
      </c>
      <c r="I1174" s="7">
        <v>9198.3169600921574</v>
      </c>
      <c r="J1174" s="7">
        <f t="shared" si="38"/>
        <v>2407.6830399078426</v>
      </c>
      <c r="K1174" s="1">
        <f>IF(B1174="North",28.6,
IF(B1174="South",13,
IF(B1174="East",22.6,
IF(B1174="West",19,
23.5))))</f>
        <v>13</v>
      </c>
      <c r="L1174" s="1">
        <f>IF(B1174="North",77.2,
IF(B1174="South",80.2,
IF(B1174="East",88.4,
IF(B1174="West",72.8,
78.9))))</f>
        <v>80.2</v>
      </c>
    </row>
    <row r="1175" spans="1:12" x14ac:dyDescent="0.25">
      <c r="A1175" s="5">
        <v>45604</v>
      </c>
      <c r="B1175" s="1" t="s">
        <v>13</v>
      </c>
      <c r="C1175" s="1" t="s">
        <v>21</v>
      </c>
      <c r="D1175" s="1" t="s">
        <v>32</v>
      </c>
      <c r="E1175" s="10">
        <v>4</v>
      </c>
      <c r="F1175" s="10">
        <v>313</v>
      </c>
      <c r="G1175" s="1" t="s">
        <v>35</v>
      </c>
      <c r="H1175" s="10">
        <f t="shared" si="37"/>
        <v>1252</v>
      </c>
      <c r="I1175" s="7">
        <v>819.17592934881179</v>
      </c>
      <c r="J1175" s="7">
        <f t="shared" si="38"/>
        <v>432.82407065118821</v>
      </c>
      <c r="K1175" s="1">
        <f>IF(B1175="North",28.6,
IF(B1175="South",13,
IF(B1175="East",22.6,
IF(B1175="West",19,
23.5))))</f>
        <v>13</v>
      </c>
      <c r="L1175" s="1">
        <f>IF(B1175="North",77.2,
IF(B1175="South",80.2,
IF(B1175="East",88.4,
IF(B1175="West",72.8,
78.9))))</f>
        <v>80.2</v>
      </c>
    </row>
    <row r="1176" spans="1:12" x14ac:dyDescent="0.25">
      <c r="A1176" s="5">
        <v>45408</v>
      </c>
      <c r="B1176" s="1" t="s">
        <v>11</v>
      </c>
      <c r="C1176" s="1" t="s">
        <v>24</v>
      </c>
      <c r="D1176" s="1" t="s">
        <v>27</v>
      </c>
      <c r="E1176" s="10">
        <v>7</v>
      </c>
      <c r="F1176" s="10">
        <v>673</v>
      </c>
      <c r="G1176" s="1" t="s">
        <v>35</v>
      </c>
      <c r="H1176" s="10">
        <f t="shared" si="37"/>
        <v>4711</v>
      </c>
      <c r="I1176" s="7">
        <v>3590.785379283061</v>
      </c>
      <c r="J1176" s="7">
        <f t="shared" si="38"/>
        <v>1120.214620716939</v>
      </c>
      <c r="K1176" s="1">
        <f>IF(B1176="North",28.6,
IF(B1176="South",13,
IF(B1176="East",22.6,
IF(B1176="West",19,
23.5))))</f>
        <v>19</v>
      </c>
      <c r="L1176" s="1">
        <f>IF(B1176="North",77.2,
IF(B1176="South",80.2,
IF(B1176="East",88.4,
IF(B1176="West",72.8,
78.9))))</f>
        <v>72.8</v>
      </c>
    </row>
    <row r="1177" spans="1:12" x14ac:dyDescent="0.25">
      <c r="A1177" s="5">
        <v>45445</v>
      </c>
      <c r="B1177" s="1" t="s">
        <v>11</v>
      </c>
      <c r="C1177" s="1" t="s">
        <v>24</v>
      </c>
      <c r="D1177" s="1" t="s">
        <v>29</v>
      </c>
      <c r="E1177" s="10">
        <v>12</v>
      </c>
      <c r="F1177" s="10">
        <v>1451</v>
      </c>
      <c r="G1177" s="1" t="s">
        <v>35</v>
      </c>
      <c r="H1177" s="10">
        <f t="shared" si="37"/>
        <v>17412</v>
      </c>
      <c r="I1177" s="7">
        <v>12799.27990669121</v>
      </c>
      <c r="J1177" s="7">
        <f t="shared" si="38"/>
        <v>4612.7200933087897</v>
      </c>
      <c r="K1177" s="1">
        <f>IF(B1177="North",28.6,
IF(B1177="South",13,
IF(B1177="East",22.6,
IF(B1177="West",19,
23.5))))</f>
        <v>19</v>
      </c>
      <c r="L1177" s="1">
        <f>IF(B1177="North",77.2,
IF(B1177="South",80.2,
IF(B1177="East",88.4,
IF(B1177="West",72.8,
78.9))))</f>
        <v>72.8</v>
      </c>
    </row>
    <row r="1178" spans="1:12" x14ac:dyDescent="0.25">
      <c r="A1178" s="5">
        <v>45582</v>
      </c>
      <c r="B1178" s="1" t="s">
        <v>11</v>
      </c>
      <c r="C1178" s="1" t="s">
        <v>20</v>
      </c>
      <c r="D1178" s="1" t="s">
        <v>26</v>
      </c>
      <c r="E1178" s="10">
        <v>2</v>
      </c>
      <c r="F1178" s="10">
        <v>1056</v>
      </c>
      <c r="G1178" s="1" t="s">
        <v>33</v>
      </c>
      <c r="H1178" s="10">
        <f t="shared" si="37"/>
        <v>2112</v>
      </c>
      <c r="I1178" s="7">
        <v>1559.302585007269</v>
      </c>
      <c r="J1178" s="7">
        <f t="shared" si="38"/>
        <v>552.69741499273096</v>
      </c>
      <c r="K1178" s="1">
        <f>IF(B1178="North",28.6,
IF(B1178="South",13,
IF(B1178="East",22.6,
IF(B1178="West",19,
23.5))))</f>
        <v>19</v>
      </c>
      <c r="L1178" s="1">
        <f>IF(B1178="North",77.2,
IF(B1178="South",80.2,
IF(B1178="East",88.4,
IF(B1178="West",72.8,
78.9))))</f>
        <v>72.8</v>
      </c>
    </row>
    <row r="1179" spans="1:12" x14ac:dyDescent="0.25">
      <c r="A1179" s="5">
        <v>45354</v>
      </c>
      <c r="B1179" s="1" t="s">
        <v>10</v>
      </c>
      <c r="C1179" s="1" t="s">
        <v>18</v>
      </c>
      <c r="D1179" s="1" t="s">
        <v>31</v>
      </c>
      <c r="E1179" s="10">
        <v>11</v>
      </c>
      <c r="F1179" s="10">
        <v>480</v>
      </c>
      <c r="G1179" s="1" t="s">
        <v>34</v>
      </c>
      <c r="H1179" s="10">
        <f t="shared" si="37"/>
        <v>5280</v>
      </c>
      <c r="I1179" s="7">
        <v>3911.5011681228311</v>
      </c>
      <c r="J1179" s="7">
        <f t="shared" si="38"/>
        <v>1368.4988318771689</v>
      </c>
      <c r="K1179" s="1">
        <f>IF(B1179="North",28.6,
IF(B1179="South",13,
IF(B1179="East",22.6,
IF(B1179="West",19,
23.5))))</f>
        <v>28.6</v>
      </c>
      <c r="L1179" s="1">
        <f>IF(B1179="North",77.2,
IF(B1179="South",80.2,
IF(B1179="East",88.4,
IF(B1179="West",72.8,
78.9))))</f>
        <v>77.2</v>
      </c>
    </row>
    <row r="1180" spans="1:12" x14ac:dyDescent="0.25">
      <c r="A1180" s="5">
        <v>45535</v>
      </c>
      <c r="B1180" s="1" t="s">
        <v>12</v>
      </c>
      <c r="C1180" s="1" t="s">
        <v>24</v>
      </c>
      <c r="D1180" s="1" t="s">
        <v>31</v>
      </c>
      <c r="E1180" s="10">
        <v>14</v>
      </c>
      <c r="F1180" s="10">
        <v>772</v>
      </c>
      <c r="G1180" s="1" t="s">
        <v>35</v>
      </c>
      <c r="H1180" s="10">
        <f t="shared" si="37"/>
        <v>10808</v>
      </c>
      <c r="I1180" s="7">
        <v>9342.8846954974815</v>
      </c>
      <c r="J1180" s="7">
        <f t="shared" si="38"/>
        <v>1465.1153045025185</v>
      </c>
      <c r="K1180" s="1">
        <f>IF(B1180="North",28.6,
IF(B1180="South",13,
IF(B1180="East",22.6,
IF(B1180="West",19,
23.5))))</f>
        <v>22.6</v>
      </c>
      <c r="L1180" s="1">
        <f>IF(B1180="North",77.2,
IF(B1180="South",80.2,
IF(B1180="East",88.4,
IF(B1180="West",72.8,
78.9))))</f>
        <v>88.4</v>
      </c>
    </row>
    <row r="1181" spans="1:12" x14ac:dyDescent="0.25">
      <c r="A1181" s="5">
        <v>45316</v>
      </c>
      <c r="B1181" s="1" t="s">
        <v>11</v>
      </c>
      <c r="C1181" s="1" t="s">
        <v>24</v>
      </c>
      <c r="D1181" s="1" t="s">
        <v>26</v>
      </c>
      <c r="E1181" s="10">
        <v>16</v>
      </c>
      <c r="F1181" s="10">
        <v>1701</v>
      </c>
      <c r="G1181" s="1" t="s">
        <v>35</v>
      </c>
      <c r="H1181" s="10">
        <f t="shared" si="37"/>
        <v>27216</v>
      </c>
      <c r="I1181" s="7">
        <v>23013.529331392241</v>
      </c>
      <c r="J1181" s="7">
        <f t="shared" si="38"/>
        <v>4202.4706686077589</v>
      </c>
      <c r="K1181" s="1">
        <f>IF(B1181="North",28.6,
IF(B1181="South",13,
IF(B1181="East",22.6,
IF(B1181="West",19,
23.5))))</f>
        <v>19</v>
      </c>
      <c r="L1181" s="1">
        <f>IF(B1181="North",77.2,
IF(B1181="South",80.2,
IF(B1181="East",88.4,
IF(B1181="West",72.8,
78.9))))</f>
        <v>72.8</v>
      </c>
    </row>
    <row r="1182" spans="1:12" x14ac:dyDescent="0.25">
      <c r="A1182" s="5">
        <v>45381</v>
      </c>
      <c r="B1182" s="1" t="s">
        <v>11</v>
      </c>
      <c r="C1182" s="1" t="s">
        <v>19</v>
      </c>
      <c r="D1182" s="1" t="s">
        <v>26</v>
      </c>
      <c r="E1182" s="10">
        <v>6</v>
      </c>
      <c r="F1182" s="10">
        <v>897</v>
      </c>
      <c r="G1182" s="1" t="s">
        <v>35</v>
      </c>
      <c r="H1182" s="10">
        <f t="shared" si="37"/>
        <v>5382</v>
      </c>
      <c r="I1182" s="7">
        <v>4245.7036593059493</v>
      </c>
      <c r="J1182" s="7">
        <f t="shared" si="38"/>
        <v>1136.2963406940507</v>
      </c>
      <c r="K1182" s="1">
        <f>IF(B1182="North",28.6,
IF(B1182="South",13,
IF(B1182="East",22.6,
IF(B1182="West",19,
23.5))))</f>
        <v>19</v>
      </c>
      <c r="L1182" s="1">
        <f>IF(B1182="North",77.2,
IF(B1182="South",80.2,
IF(B1182="East",88.4,
IF(B1182="West",72.8,
78.9))))</f>
        <v>72.8</v>
      </c>
    </row>
    <row r="1183" spans="1:12" x14ac:dyDescent="0.25">
      <c r="A1183" s="5">
        <v>45366</v>
      </c>
      <c r="B1183" s="1" t="s">
        <v>10</v>
      </c>
      <c r="C1183" s="1" t="s">
        <v>22</v>
      </c>
      <c r="D1183" s="1" t="s">
        <v>26</v>
      </c>
      <c r="E1183" s="10">
        <v>4</v>
      </c>
      <c r="F1183" s="10">
        <v>338</v>
      </c>
      <c r="G1183" s="1" t="s">
        <v>35</v>
      </c>
      <c r="H1183" s="10">
        <f t="shared" si="37"/>
        <v>1352</v>
      </c>
      <c r="I1183" s="7">
        <v>1101.807101080321</v>
      </c>
      <c r="J1183" s="7">
        <f t="shared" si="38"/>
        <v>250.19289891967901</v>
      </c>
      <c r="K1183" s="1">
        <f>IF(B1183="North",28.6,
IF(B1183="South",13,
IF(B1183="East",22.6,
IF(B1183="West",19,
23.5))))</f>
        <v>28.6</v>
      </c>
      <c r="L1183" s="1">
        <f>IF(B1183="North",77.2,
IF(B1183="South",80.2,
IF(B1183="East",88.4,
IF(B1183="West",72.8,
78.9))))</f>
        <v>77.2</v>
      </c>
    </row>
    <row r="1184" spans="1:12" x14ac:dyDescent="0.25">
      <c r="A1184" s="5">
        <v>45585</v>
      </c>
      <c r="B1184" s="1" t="s">
        <v>11</v>
      </c>
      <c r="C1184" s="1" t="s">
        <v>20</v>
      </c>
      <c r="D1184" s="1" t="s">
        <v>28</v>
      </c>
      <c r="E1184" s="10">
        <v>15</v>
      </c>
      <c r="F1184" s="10">
        <v>1655</v>
      </c>
      <c r="G1184" s="1" t="s">
        <v>33</v>
      </c>
      <c r="H1184" s="10">
        <f t="shared" si="37"/>
        <v>24825</v>
      </c>
      <c r="I1184" s="7">
        <v>15213.772632117219</v>
      </c>
      <c r="J1184" s="7">
        <f t="shared" si="38"/>
        <v>9611.2273678827805</v>
      </c>
      <c r="K1184" s="1">
        <f>IF(B1184="North",28.6,
IF(B1184="South",13,
IF(B1184="East",22.6,
IF(B1184="West",19,
23.5))))</f>
        <v>19</v>
      </c>
      <c r="L1184" s="1">
        <f>IF(B1184="North",77.2,
IF(B1184="South",80.2,
IF(B1184="East",88.4,
IF(B1184="West",72.8,
78.9))))</f>
        <v>72.8</v>
      </c>
    </row>
    <row r="1185" spans="1:12" x14ac:dyDescent="0.25">
      <c r="A1185" s="5">
        <v>45501</v>
      </c>
      <c r="B1185" s="1" t="s">
        <v>10</v>
      </c>
      <c r="C1185" s="1" t="s">
        <v>23</v>
      </c>
      <c r="D1185" s="1" t="s">
        <v>29</v>
      </c>
      <c r="E1185" s="10">
        <v>1</v>
      </c>
      <c r="F1185" s="10">
        <v>799</v>
      </c>
      <c r="G1185" s="1" t="s">
        <v>34</v>
      </c>
      <c r="H1185" s="10">
        <f t="shared" si="37"/>
        <v>799</v>
      </c>
      <c r="I1185" s="7">
        <v>657.73481513530658</v>
      </c>
      <c r="J1185" s="7">
        <f t="shared" si="38"/>
        <v>141.26518486469342</v>
      </c>
      <c r="K1185" s="1">
        <f>IF(B1185="North",28.6,
IF(B1185="South",13,
IF(B1185="East",22.6,
IF(B1185="West",19,
23.5))))</f>
        <v>28.6</v>
      </c>
      <c r="L1185" s="1">
        <f>IF(B1185="North",77.2,
IF(B1185="South",80.2,
IF(B1185="East",88.4,
IF(B1185="West",72.8,
78.9))))</f>
        <v>77.2</v>
      </c>
    </row>
    <row r="1186" spans="1:12" x14ac:dyDescent="0.25">
      <c r="A1186" s="5">
        <v>45638</v>
      </c>
      <c r="B1186" s="1" t="s">
        <v>13</v>
      </c>
      <c r="C1186" s="1" t="s">
        <v>20</v>
      </c>
      <c r="D1186" s="1" t="s">
        <v>31</v>
      </c>
      <c r="E1186" s="10">
        <v>7</v>
      </c>
      <c r="F1186" s="10">
        <v>1205</v>
      </c>
      <c r="G1186" s="1" t="s">
        <v>33</v>
      </c>
      <c r="H1186" s="10">
        <f t="shared" si="37"/>
        <v>8435</v>
      </c>
      <c r="I1186" s="7">
        <v>6291.2397441319572</v>
      </c>
      <c r="J1186" s="7">
        <f t="shared" si="38"/>
        <v>2143.7602558680428</v>
      </c>
      <c r="K1186" s="1">
        <f>IF(B1186="North",28.6,
IF(B1186="South",13,
IF(B1186="East",22.6,
IF(B1186="West",19,
23.5))))</f>
        <v>13</v>
      </c>
      <c r="L1186" s="1">
        <f>IF(B1186="North",77.2,
IF(B1186="South",80.2,
IF(B1186="East",88.4,
IF(B1186="West",72.8,
78.9))))</f>
        <v>80.2</v>
      </c>
    </row>
    <row r="1187" spans="1:12" x14ac:dyDescent="0.25">
      <c r="A1187" s="5">
        <v>45308</v>
      </c>
      <c r="B1187" s="1" t="s">
        <v>11</v>
      </c>
      <c r="C1187" s="1" t="s">
        <v>20</v>
      </c>
      <c r="D1187" s="1" t="s">
        <v>29</v>
      </c>
      <c r="E1187" s="10">
        <v>12</v>
      </c>
      <c r="F1187" s="10">
        <v>1486</v>
      </c>
      <c r="G1187" s="1" t="s">
        <v>33</v>
      </c>
      <c r="H1187" s="10">
        <f t="shared" si="37"/>
        <v>17832</v>
      </c>
      <c r="I1187" s="7">
        <v>12399.022371306661</v>
      </c>
      <c r="J1187" s="7">
        <f t="shared" si="38"/>
        <v>5432.9776286933393</v>
      </c>
      <c r="K1187" s="1">
        <f>IF(B1187="North",28.6,
IF(B1187="South",13,
IF(B1187="East",22.6,
IF(B1187="West",19,
23.5))))</f>
        <v>19</v>
      </c>
      <c r="L1187" s="1">
        <f>IF(B1187="North",77.2,
IF(B1187="South",80.2,
IF(B1187="East",88.4,
IF(B1187="West",72.8,
78.9))))</f>
        <v>72.8</v>
      </c>
    </row>
    <row r="1188" spans="1:12" x14ac:dyDescent="0.25">
      <c r="A1188" s="5">
        <v>45419</v>
      </c>
      <c r="B1188" s="1" t="s">
        <v>11</v>
      </c>
      <c r="C1188" s="1" t="s">
        <v>23</v>
      </c>
      <c r="D1188" s="1" t="s">
        <v>32</v>
      </c>
      <c r="E1188" s="10">
        <v>10</v>
      </c>
      <c r="F1188" s="10">
        <v>604</v>
      </c>
      <c r="G1188" s="1" t="s">
        <v>34</v>
      </c>
      <c r="H1188" s="10">
        <f t="shared" si="37"/>
        <v>6040</v>
      </c>
      <c r="I1188" s="7">
        <v>3877.2758622799151</v>
      </c>
      <c r="J1188" s="7">
        <f t="shared" si="38"/>
        <v>2162.7241377200849</v>
      </c>
      <c r="K1188" s="1">
        <f>IF(B1188="North",28.6,
IF(B1188="South",13,
IF(B1188="East",22.6,
IF(B1188="West",19,
23.5))))</f>
        <v>19</v>
      </c>
      <c r="L1188" s="1">
        <f>IF(B1188="North",77.2,
IF(B1188="South",80.2,
IF(B1188="East",88.4,
IF(B1188="West",72.8,
78.9))))</f>
        <v>72.8</v>
      </c>
    </row>
    <row r="1189" spans="1:12" x14ac:dyDescent="0.25">
      <c r="A1189" s="5">
        <v>45655</v>
      </c>
      <c r="B1189" s="1" t="s">
        <v>13</v>
      </c>
      <c r="C1189" s="1" t="s">
        <v>19</v>
      </c>
      <c r="D1189" s="1" t="s">
        <v>31</v>
      </c>
      <c r="E1189" s="10">
        <v>5</v>
      </c>
      <c r="F1189" s="10">
        <v>301</v>
      </c>
      <c r="G1189" s="1" t="s">
        <v>35</v>
      </c>
      <c r="H1189" s="10">
        <f t="shared" si="37"/>
        <v>1505</v>
      </c>
      <c r="I1189" s="7">
        <v>936.95676884392435</v>
      </c>
      <c r="J1189" s="7">
        <f t="shared" si="38"/>
        <v>568.04323115607565</v>
      </c>
      <c r="K1189" s="1">
        <f>IF(B1189="North",28.6,
IF(B1189="South",13,
IF(B1189="East",22.6,
IF(B1189="West",19,
23.5))))</f>
        <v>13</v>
      </c>
      <c r="L1189" s="1">
        <f>IF(B1189="North",77.2,
IF(B1189="South",80.2,
IF(B1189="East",88.4,
IF(B1189="West",72.8,
78.9))))</f>
        <v>80.2</v>
      </c>
    </row>
    <row r="1190" spans="1:12" x14ac:dyDescent="0.25">
      <c r="A1190" s="5">
        <v>45542</v>
      </c>
      <c r="B1190" s="1" t="s">
        <v>13</v>
      </c>
      <c r="C1190" s="1" t="s">
        <v>18</v>
      </c>
      <c r="D1190" s="1" t="s">
        <v>36</v>
      </c>
      <c r="E1190" s="10">
        <v>12</v>
      </c>
      <c r="F1190" s="10">
        <v>1019</v>
      </c>
      <c r="G1190" s="1" t="s">
        <v>34</v>
      </c>
      <c r="H1190" s="10">
        <f t="shared" si="37"/>
        <v>12228</v>
      </c>
      <c r="I1190" s="7">
        <v>7501.4586486761791</v>
      </c>
      <c r="J1190" s="7">
        <f t="shared" si="38"/>
        <v>4726.5413513238209</v>
      </c>
      <c r="K1190" s="1">
        <f>IF(B1190="North",28.6,
IF(B1190="South",13,
IF(B1190="East",22.6,
IF(B1190="West",19,
23.5))))</f>
        <v>13</v>
      </c>
      <c r="L1190" s="1">
        <f>IF(B1190="North",77.2,
IF(B1190="South",80.2,
IF(B1190="East",88.4,
IF(B1190="West",72.8,
78.9))))</f>
        <v>80.2</v>
      </c>
    </row>
    <row r="1191" spans="1:12" x14ac:dyDescent="0.25">
      <c r="A1191" s="5">
        <v>45470</v>
      </c>
      <c r="B1191" s="1" t="s">
        <v>13</v>
      </c>
      <c r="C1191" s="1" t="s">
        <v>21</v>
      </c>
      <c r="D1191" s="1" t="s">
        <v>26</v>
      </c>
      <c r="E1191" s="10">
        <v>18</v>
      </c>
      <c r="F1191" s="10">
        <v>1627</v>
      </c>
      <c r="G1191" s="1" t="s">
        <v>35</v>
      </c>
      <c r="H1191" s="10">
        <f t="shared" si="37"/>
        <v>29286</v>
      </c>
      <c r="I1191" s="7">
        <v>18993.108833350681</v>
      </c>
      <c r="J1191" s="7">
        <f t="shared" si="38"/>
        <v>10292.891166649319</v>
      </c>
      <c r="K1191" s="1">
        <f>IF(B1191="North",28.6,
IF(B1191="South",13,
IF(B1191="East",22.6,
IF(B1191="West",19,
23.5))))</f>
        <v>13</v>
      </c>
      <c r="L1191" s="1">
        <f>IF(B1191="North",77.2,
IF(B1191="South",80.2,
IF(B1191="East",88.4,
IF(B1191="West",72.8,
78.9))))</f>
        <v>80.2</v>
      </c>
    </row>
    <row r="1192" spans="1:12" x14ac:dyDescent="0.25">
      <c r="A1192" s="5">
        <v>45473</v>
      </c>
      <c r="B1192" s="1" t="s">
        <v>11</v>
      </c>
      <c r="C1192" s="1" t="s">
        <v>24</v>
      </c>
      <c r="D1192" s="1" t="s">
        <v>27</v>
      </c>
      <c r="E1192" s="10">
        <v>10</v>
      </c>
      <c r="F1192" s="10">
        <v>1767</v>
      </c>
      <c r="G1192" s="1" t="s">
        <v>35</v>
      </c>
      <c r="H1192" s="10">
        <f t="shared" si="37"/>
        <v>17670</v>
      </c>
      <c r="I1192" s="7">
        <v>10761.79225622283</v>
      </c>
      <c r="J1192" s="7">
        <f t="shared" si="38"/>
        <v>6908.2077437771695</v>
      </c>
      <c r="K1192" s="1">
        <f>IF(B1192="North",28.6,
IF(B1192="South",13,
IF(B1192="East",22.6,
IF(B1192="West",19,
23.5))))</f>
        <v>19</v>
      </c>
      <c r="L1192" s="1">
        <f>IF(B1192="North",77.2,
IF(B1192="South",80.2,
IF(B1192="East",88.4,
IF(B1192="West",72.8,
78.9))))</f>
        <v>72.8</v>
      </c>
    </row>
    <row r="1193" spans="1:12" x14ac:dyDescent="0.25">
      <c r="A1193" s="5">
        <v>45443</v>
      </c>
      <c r="B1193" s="1" t="s">
        <v>12</v>
      </c>
      <c r="C1193" s="1" t="s">
        <v>22</v>
      </c>
      <c r="D1193" s="1" t="s">
        <v>26</v>
      </c>
      <c r="E1193" s="10">
        <v>6</v>
      </c>
      <c r="F1193" s="10">
        <v>136</v>
      </c>
      <c r="G1193" s="1" t="s">
        <v>35</v>
      </c>
      <c r="H1193" s="10">
        <f t="shared" si="37"/>
        <v>816</v>
      </c>
      <c r="I1193" s="7">
        <v>668.95082094992904</v>
      </c>
      <c r="J1193" s="7">
        <f t="shared" si="38"/>
        <v>147.04917905007096</v>
      </c>
      <c r="K1193" s="1">
        <f>IF(B1193="North",28.6,
IF(B1193="South",13,
IF(B1193="East",22.6,
IF(B1193="West",19,
23.5))))</f>
        <v>22.6</v>
      </c>
      <c r="L1193" s="1">
        <f>IF(B1193="North",77.2,
IF(B1193="South",80.2,
IF(B1193="East",88.4,
IF(B1193="West",72.8,
78.9))))</f>
        <v>88.4</v>
      </c>
    </row>
    <row r="1194" spans="1:12" x14ac:dyDescent="0.25">
      <c r="A1194" s="5">
        <v>45316</v>
      </c>
      <c r="B1194" s="1" t="s">
        <v>12</v>
      </c>
      <c r="C1194" s="1" t="s">
        <v>17</v>
      </c>
      <c r="D1194" s="1" t="s">
        <v>25</v>
      </c>
      <c r="E1194" s="10">
        <v>12</v>
      </c>
      <c r="F1194" s="10">
        <v>743</v>
      </c>
      <c r="G1194" s="1" t="s">
        <v>33</v>
      </c>
      <c r="H1194" s="10">
        <f t="shared" si="37"/>
        <v>8916</v>
      </c>
      <c r="I1194" s="7">
        <v>6014.5930455593498</v>
      </c>
      <c r="J1194" s="7">
        <f t="shared" si="38"/>
        <v>2901.4069544406502</v>
      </c>
      <c r="K1194" s="1">
        <f>IF(B1194="North",28.6,
IF(B1194="South",13,
IF(B1194="East",22.6,
IF(B1194="West",19,
23.5))))</f>
        <v>22.6</v>
      </c>
      <c r="L1194" s="1">
        <f>IF(B1194="North",77.2,
IF(B1194="South",80.2,
IF(B1194="East",88.4,
IF(B1194="West",72.8,
78.9))))</f>
        <v>88.4</v>
      </c>
    </row>
    <row r="1195" spans="1:12" x14ac:dyDescent="0.25">
      <c r="A1195" s="5">
        <v>45471</v>
      </c>
      <c r="B1195" s="1" t="s">
        <v>12</v>
      </c>
      <c r="C1195" s="1" t="s">
        <v>18</v>
      </c>
      <c r="D1195" s="1" t="s">
        <v>26</v>
      </c>
      <c r="E1195" s="10">
        <v>7</v>
      </c>
      <c r="F1195" s="10">
        <v>1712</v>
      </c>
      <c r="G1195" s="1" t="s">
        <v>34</v>
      </c>
      <c r="H1195" s="10">
        <f t="shared" si="37"/>
        <v>11984</v>
      </c>
      <c r="I1195" s="7">
        <v>8516.0955829059603</v>
      </c>
      <c r="J1195" s="7">
        <f t="shared" si="38"/>
        <v>3467.9044170940397</v>
      </c>
      <c r="K1195" s="1">
        <f>IF(B1195="North",28.6,
IF(B1195="South",13,
IF(B1195="East",22.6,
IF(B1195="West",19,
23.5))))</f>
        <v>22.6</v>
      </c>
      <c r="L1195" s="1">
        <f>IF(B1195="North",77.2,
IF(B1195="South",80.2,
IF(B1195="East",88.4,
IF(B1195="West",72.8,
78.9))))</f>
        <v>88.4</v>
      </c>
    </row>
    <row r="1196" spans="1:12" x14ac:dyDescent="0.25">
      <c r="A1196" s="5">
        <v>45489</v>
      </c>
      <c r="B1196" s="1" t="s">
        <v>11</v>
      </c>
      <c r="C1196" s="1" t="s">
        <v>23</v>
      </c>
      <c r="D1196" s="1" t="s">
        <v>28</v>
      </c>
      <c r="E1196" s="10">
        <v>18</v>
      </c>
      <c r="F1196" s="10">
        <v>1724</v>
      </c>
      <c r="G1196" s="1" t="s">
        <v>34</v>
      </c>
      <c r="H1196" s="10">
        <f t="shared" si="37"/>
        <v>31032</v>
      </c>
      <c r="I1196" s="7">
        <v>26278.35886414034</v>
      </c>
      <c r="J1196" s="7">
        <f t="shared" si="38"/>
        <v>4753.6411358596597</v>
      </c>
      <c r="K1196" s="1">
        <f>IF(B1196="North",28.6,
IF(B1196="South",13,
IF(B1196="East",22.6,
IF(B1196="West",19,
23.5))))</f>
        <v>19</v>
      </c>
      <c r="L1196" s="1">
        <f>IF(B1196="North",77.2,
IF(B1196="South",80.2,
IF(B1196="East",88.4,
IF(B1196="West",72.8,
78.9))))</f>
        <v>72.8</v>
      </c>
    </row>
    <row r="1197" spans="1:12" x14ac:dyDescent="0.25">
      <c r="A1197" s="5">
        <v>45635</v>
      </c>
      <c r="B1197" s="1" t="s">
        <v>13</v>
      </c>
      <c r="C1197" s="1" t="s">
        <v>21</v>
      </c>
      <c r="D1197" s="1" t="s">
        <v>29</v>
      </c>
      <c r="E1197" s="10">
        <v>2</v>
      </c>
      <c r="F1197" s="10">
        <v>1525</v>
      </c>
      <c r="G1197" s="1" t="s">
        <v>35</v>
      </c>
      <c r="H1197" s="10">
        <f t="shared" si="37"/>
        <v>3050</v>
      </c>
      <c r="I1197" s="7">
        <v>1934.91160932</v>
      </c>
      <c r="J1197" s="7">
        <f t="shared" si="38"/>
        <v>1115.08839068</v>
      </c>
      <c r="K1197" s="1">
        <f>IF(B1197="North",28.6,
IF(B1197="South",13,
IF(B1197="East",22.6,
IF(B1197="West",19,
23.5))))</f>
        <v>13</v>
      </c>
      <c r="L1197" s="1">
        <f>IF(B1197="North",77.2,
IF(B1197="South",80.2,
IF(B1197="East",88.4,
IF(B1197="West",72.8,
78.9))))</f>
        <v>80.2</v>
      </c>
    </row>
    <row r="1198" spans="1:12" x14ac:dyDescent="0.25">
      <c r="A1198" s="5">
        <v>45452</v>
      </c>
      <c r="B1198" s="1" t="s">
        <v>11</v>
      </c>
      <c r="C1198" s="1" t="s">
        <v>18</v>
      </c>
      <c r="D1198" s="1" t="s">
        <v>31</v>
      </c>
      <c r="E1198" s="10">
        <v>10</v>
      </c>
      <c r="F1198" s="10">
        <v>864</v>
      </c>
      <c r="G1198" s="1" t="s">
        <v>34</v>
      </c>
      <c r="H1198" s="10">
        <f t="shared" si="37"/>
        <v>8640</v>
      </c>
      <c r="I1198" s="7">
        <v>7349.8597263722631</v>
      </c>
      <c r="J1198" s="7">
        <f t="shared" si="38"/>
        <v>1290.1402736277369</v>
      </c>
      <c r="K1198" s="1">
        <f>IF(B1198="North",28.6,
IF(B1198="South",13,
IF(B1198="East",22.6,
IF(B1198="West",19,
23.5))))</f>
        <v>19</v>
      </c>
      <c r="L1198" s="1">
        <f>IF(B1198="North",77.2,
IF(B1198="South",80.2,
IF(B1198="East",88.4,
IF(B1198="West",72.8,
78.9))))</f>
        <v>72.8</v>
      </c>
    </row>
    <row r="1199" spans="1:12" x14ac:dyDescent="0.25">
      <c r="A1199" s="5">
        <v>45468</v>
      </c>
      <c r="B1199" s="1" t="s">
        <v>13</v>
      </c>
      <c r="C1199" s="1" t="s">
        <v>23</v>
      </c>
      <c r="D1199" s="1" t="s">
        <v>26</v>
      </c>
      <c r="E1199" s="10">
        <v>15</v>
      </c>
      <c r="F1199" s="10">
        <v>1979</v>
      </c>
      <c r="G1199" s="1" t="s">
        <v>34</v>
      </c>
      <c r="H1199" s="10">
        <f t="shared" si="37"/>
        <v>29685</v>
      </c>
      <c r="I1199" s="7">
        <v>23506.426591825591</v>
      </c>
      <c r="J1199" s="7">
        <f t="shared" si="38"/>
        <v>6178.5734081744085</v>
      </c>
      <c r="K1199" s="1">
        <f>IF(B1199="North",28.6,
IF(B1199="South",13,
IF(B1199="East",22.6,
IF(B1199="West",19,
23.5))))</f>
        <v>13</v>
      </c>
      <c r="L1199" s="1">
        <f>IF(B1199="North",77.2,
IF(B1199="South",80.2,
IF(B1199="East",88.4,
IF(B1199="West",72.8,
78.9))))</f>
        <v>80.2</v>
      </c>
    </row>
    <row r="1200" spans="1:12" x14ac:dyDescent="0.25">
      <c r="A1200" s="5">
        <v>45576</v>
      </c>
      <c r="B1200" s="1" t="s">
        <v>11</v>
      </c>
      <c r="C1200" s="1" t="s">
        <v>24</v>
      </c>
      <c r="D1200" s="1" t="s">
        <v>31</v>
      </c>
      <c r="E1200" s="10">
        <v>12</v>
      </c>
      <c r="F1200" s="10">
        <v>805</v>
      </c>
      <c r="G1200" s="1" t="s">
        <v>35</v>
      </c>
      <c r="H1200" s="10">
        <f t="shared" si="37"/>
        <v>9660</v>
      </c>
      <c r="I1200" s="7">
        <v>6787.2015333241388</v>
      </c>
      <c r="J1200" s="7">
        <f t="shared" si="38"/>
        <v>2872.7984666758612</v>
      </c>
      <c r="K1200" s="1">
        <f>IF(B1200="North",28.6,
IF(B1200="South",13,
IF(B1200="East",22.6,
IF(B1200="West",19,
23.5))))</f>
        <v>19</v>
      </c>
      <c r="L1200" s="1">
        <f>IF(B1200="North",77.2,
IF(B1200="South",80.2,
IF(B1200="East",88.4,
IF(B1200="West",72.8,
78.9))))</f>
        <v>72.8</v>
      </c>
    </row>
    <row r="1201" spans="1:12" x14ac:dyDescent="0.25">
      <c r="A1201" s="5">
        <v>45354</v>
      </c>
      <c r="B1201" s="1" t="s">
        <v>11</v>
      </c>
      <c r="C1201" s="1" t="s">
        <v>19</v>
      </c>
      <c r="D1201" s="1" t="s">
        <v>30</v>
      </c>
      <c r="E1201" s="10">
        <v>17</v>
      </c>
      <c r="F1201" s="10">
        <v>1299</v>
      </c>
      <c r="G1201" s="1" t="s">
        <v>35</v>
      </c>
      <c r="H1201" s="10">
        <f t="shared" si="37"/>
        <v>22083</v>
      </c>
      <c r="I1201" s="7">
        <v>14030.2610058521</v>
      </c>
      <c r="J1201" s="7">
        <f t="shared" si="38"/>
        <v>8052.7389941478996</v>
      </c>
      <c r="K1201" s="1">
        <f>IF(B1201="North",28.6,
IF(B1201="South",13,
IF(B1201="East",22.6,
IF(B1201="West",19,
23.5))))</f>
        <v>19</v>
      </c>
      <c r="L1201" s="1">
        <f>IF(B1201="North",77.2,
IF(B1201="South",80.2,
IF(B1201="East",88.4,
IF(B1201="West",72.8,
78.9))))</f>
        <v>72.8</v>
      </c>
    </row>
    <row r="1202" spans="1:12" x14ac:dyDescent="0.25">
      <c r="A1202" s="5">
        <v>45441</v>
      </c>
      <c r="B1202" s="1" t="s">
        <v>13</v>
      </c>
      <c r="C1202" s="1" t="s">
        <v>18</v>
      </c>
      <c r="D1202" s="1" t="s">
        <v>32</v>
      </c>
      <c r="E1202" s="10">
        <v>4</v>
      </c>
      <c r="F1202" s="10">
        <v>644</v>
      </c>
      <c r="G1202" s="1" t="s">
        <v>34</v>
      </c>
      <c r="H1202" s="10">
        <f t="shared" si="37"/>
        <v>2576</v>
      </c>
      <c r="I1202" s="7">
        <v>1616.305556505057</v>
      </c>
      <c r="J1202" s="7">
        <f t="shared" si="38"/>
        <v>959.69444349494302</v>
      </c>
      <c r="K1202" s="1">
        <f>IF(B1202="North",28.6,
IF(B1202="South",13,
IF(B1202="East",22.6,
IF(B1202="West",19,
23.5))))</f>
        <v>13</v>
      </c>
      <c r="L1202" s="1">
        <f>IF(B1202="North",77.2,
IF(B1202="South",80.2,
IF(B1202="East",88.4,
IF(B1202="West",72.8,
78.9))))</f>
        <v>80.2</v>
      </c>
    </row>
    <row r="1203" spans="1:12" x14ac:dyDescent="0.25">
      <c r="A1203" s="5">
        <v>45445</v>
      </c>
      <c r="B1203" s="1" t="s">
        <v>12</v>
      </c>
      <c r="C1203" s="1" t="s">
        <v>23</v>
      </c>
      <c r="D1203" s="1" t="s">
        <v>29</v>
      </c>
      <c r="E1203" s="10">
        <v>7</v>
      </c>
      <c r="F1203" s="10">
        <v>1693</v>
      </c>
      <c r="G1203" s="1" t="s">
        <v>34</v>
      </c>
      <c r="H1203" s="10">
        <f t="shared" si="37"/>
        <v>11851</v>
      </c>
      <c r="I1203" s="7">
        <v>8303.4541546158089</v>
      </c>
      <c r="J1203" s="7">
        <f t="shared" si="38"/>
        <v>3547.5458453841911</v>
      </c>
      <c r="K1203" s="1">
        <f>IF(B1203="North",28.6,
IF(B1203="South",13,
IF(B1203="East",22.6,
IF(B1203="West",19,
23.5))))</f>
        <v>22.6</v>
      </c>
      <c r="L1203" s="1">
        <f>IF(B1203="North",77.2,
IF(B1203="South",80.2,
IF(B1203="East",88.4,
IF(B1203="West",72.8,
78.9))))</f>
        <v>88.4</v>
      </c>
    </row>
    <row r="1204" spans="1:12" x14ac:dyDescent="0.25">
      <c r="A1204" s="5">
        <v>45447</v>
      </c>
      <c r="B1204" s="1" t="s">
        <v>13</v>
      </c>
      <c r="C1204" s="1" t="s">
        <v>24</v>
      </c>
      <c r="D1204" s="1" t="s">
        <v>31</v>
      </c>
      <c r="E1204" s="10">
        <v>9</v>
      </c>
      <c r="F1204" s="10">
        <v>1590</v>
      </c>
      <c r="G1204" s="1" t="s">
        <v>35</v>
      </c>
      <c r="H1204" s="10">
        <f t="shared" si="37"/>
        <v>14310</v>
      </c>
      <c r="I1204" s="7">
        <v>9188.4880888785701</v>
      </c>
      <c r="J1204" s="7">
        <f t="shared" si="38"/>
        <v>5121.5119111214299</v>
      </c>
      <c r="K1204" s="1">
        <f>IF(B1204="North",28.6,
IF(B1204="South",13,
IF(B1204="East",22.6,
IF(B1204="West",19,
23.5))))</f>
        <v>13</v>
      </c>
      <c r="L1204" s="1">
        <f>IF(B1204="North",77.2,
IF(B1204="South",80.2,
IF(B1204="East",88.4,
IF(B1204="West",72.8,
78.9))))</f>
        <v>80.2</v>
      </c>
    </row>
    <row r="1205" spans="1:12" x14ac:dyDescent="0.25">
      <c r="A1205" s="5">
        <v>45340</v>
      </c>
      <c r="B1205" s="1" t="s">
        <v>10</v>
      </c>
      <c r="C1205" s="1" t="s">
        <v>24</v>
      </c>
      <c r="D1205" s="1" t="s">
        <v>27</v>
      </c>
      <c r="E1205" s="10">
        <v>19</v>
      </c>
      <c r="F1205" s="10">
        <v>1324</v>
      </c>
      <c r="G1205" s="1" t="s">
        <v>35</v>
      </c>
      <c r="H1205" s="10">
        <f t="shared" si="37"/>
        <v>25156</v>
      </c>
      <c r="I1205" s="7">
        <v>17113.956065439601</v>
      </c>
      <c r="J1205" s="7">
        <f t="shared" si="38"/>
        <v>8042.0439345603991</v>
      </c>
      <c r="K1205" s="1">
        <f>IF(B1205="North",28.6,
IF(B1205="South",13,
IF(B1205="East",22.6,
IF(B1205="West",19,
23.5))))</f>
        <v>28.6</v>
      </c>
      <c r="L1205" s="1">
        <f>IF(B1205="North",77.2,
IF(B1205="South",80.2,
IF(B1205="East",88.4,
IF(B1205="West",72.8,
78.9))))</f>
        <v>77.2</v>
      </c>
    </row>
    <row r="1206" spans="1:12" x14ac:dyDescent="0.25">
      <c r="A1206" s="5">
        <v>45628</v>
      </c>
      <c r="B1206" s="1" t="s">
        <v>10</v>
      </c>
      <c r="C1206" s="1" t="s">
        <v>19</v>
      </c>
      <c r="D1206" s="1" t="s">
        <v>32</v>
      </c>
      <c r="E1206" s="10">
        <v>10</v>
      </c>
      <c r="F1206" s="10">
        <v>1073.5</v>
      </c>
      <c r="G1206" s="1" t="s">
        <v>35</v>
      </c>
      <c r="H1206" s="10">
        <f t="shared" si="37"/>
        <v>10735</v>
      </c>
      <c r="I1206" s="7">
        <f>H1206*0.7</f>
        <v>7514.4999999999991</v>
      </c>
      <c r="J1206" s="7">
        <f t="shared" si="38"/>
        <v>3220.5000000000009</v>
      </c>
      <c r="K1206" s="1">
        <f>IF(B1206="North",28.6,
IF(B1206="South",13,
IF(B1206="East",22.6,
IF(B1206="West",19,
23.5))))</f>
        <v>28.6</v>
      </c>
      <c r="L1206" s="1">
        <f>IF(B1206="North",77.2,
IF(B1206="South",80.2,
IF(B1206="East",88.4,
IF(B1206="West",72.8,
78.9))))</f>
        <v>77.2</v>
      </c>
    </row>
    <row r="1207" spans="1:12" x14ac:dyDescent="0.25">
      <c r="A1207" s="5">
        <v>45375</v>
      </c>
      <c r="B1207" s="1" t="s">
        <v>13</v>
      </c>
      <c r="C1207" s="1" t="s">
        <v>20</v>
      </c>
      <c r="D1207" s="1" t="s">
        <v>25</v>
      </c>
      <c r="E1207" s="10">
        <v>2</v>
      </c>
      <c r="F1207" s="10">
        <v>1670</v>
      </c>
      <c r="G1207" s="1" t="s">
        <v>33</v>
      </c>
      <c r="H1207" s="10">
        <f t="shared" si="37"/>
        <v>3340</v>
      </c>
      <c r="I1207" s="7">
        <v>2600.198438540092</v>
      </c>
      <c r="J1207" s="7">
        <f t="shared" si="38"/>
        <v>739.80156145990804</v>
      </c>
      <c r="K1207" s="1">
        <f>IF(B1207="North",28.6,
IF(B1207="South",13,
IF(B1207="East",22.6,
IF(B1207="West",19,
23.5))))</f>
        <v>13</v>
      </c>
      <c r="L1207" s="1">
        <f>IF(B1207="North",77.2,
IF(B1207="South",80.2,
IF(B1207="East",88.4,
IF(B1207="West",72.8,
78.9))))</f>
        <v>80.2</v>
      </c>
    </row>
    <row r="1208" spans="1:12" x14ac:dyDescent="0.25">
      <c r="A1208" s="5">
        <v>45652</v>
      </c>
      <c r="B1208" s="1" t="s">
        <v>11</v>
      </c>
      <c r="C1208" s="1" t="s">
        <v>40</v>
      </c>
      <c r="D1208" s="1" t="s">
        <v>25</v>
      </c>
      <c r="E1208" s="10">
        <v>6</v>
      </c>
      <c r="F1208" s="10">
        <v>1073.5</v>
      </c>
      <c r="G1208" s="1" t="s">
        <v>34</v>
      </c>
      <c r="H1208" s="10">
        <f t="shared" si="37"/>
        <v>6441</v>
      </c>
      <c r="I1208" s="7">
        <f>H1208*0.7</f>
        <v>4508.7</v>
      </c>
      <c r="J1208" s="7">
        <f t="shared" si="38"/>
        <v>1932.3000000000002</v>
      </c>
      <c r="K1208" s="1">
        <f>IF(B1208="North",28.6,
IF(B1208="South",13,
IF(B1208="East",22.6,
IF(B1208="West",19,
23.5))))</f>
        <v>19</v>
      </c>
      <c r="L1208" s="1">
        <f>IF(B1208="North",77.2,
IF(B1208="South",80.2,
IF(B1208="East",88.4,
IF(B1208="West",72.8,
78.9))))</f>
        <v>72.8</v>
      </c>
    </row>
    <row r="1209" spans="1:12" x14ac:dyDescent="0.25">
      <c r="A1209" s="5">
        <v>45468</v>
      </c>
      <c r="B1209" s="1" t="s">
        <v>10</v>
      </c>
      <c r="C1209" s="1" t="s">
        <v>18</v>
      </c>
      <c r="D1209" s="1" t="s">
        <v>27</v>
      </c>
      <c r="E1209" s="10">
        <v>18</v>
      </c>
      <c r="F1209" s="10">
        <v>1760</v>
      </c>
      <c r="G1209" s="1" t="s">
        <v>34</v>
      </c>
      <c r="H1209" s="10">
        <f t="shared" si="37"/>
        <v>31680</v>
      </c>
      <c r="I1209" s="7">
        <v>26199.983903945958</v>
      </c>
      <c r="J1209" s="7">
        <f t="shared" si="38"/>
        <v>5480.0160960540416</v>
      </c>
      <c r="K1209" s="1">
        <f>IF(B1209="North",28.6,
IF(B1209="South",13,
IF(B1209="East",22.6,
IF(B1209="West",19,
23.5))))</f>
        <v>28.6</v>
      </c>
      <c r="L1209" s="1">
        <f>IF(B1209="North",77.2,
IF(B1209="South",80.2,
IF(B1209="East",88.4,
IF(B1209="West",72.8,
78.9))))</f>
        <v>77.2</v>
      </c>
    </row>
    <row r="1210" spans="1:12" x14ac:dyDescent="0.25">
      <c r="A1210" s="5">
        <v>45439</v>
      </c>
      <c r="B1210" s="1" t="s">
        <v>10</v>
      </c>
      <c r="C1210" s="1" t="s">
        <v>20</v>
      </c>
      <c r="D1210" s="1" t="s">
        <v>26</v>
      </c>
      <c r="E1210" s="10">
        <v>6</v>
      </c>
      <c r="F1210" s="10">
        <v>493</v>
      </c>
      <c r="G1210" s="1" t="s">
        <v>33</v>
      </c>
      <c r="H1210" s="10">
        <f t="shared" si="37"/>
        <v>2958</v>
      </c>
      <c r="I1210" s="7">
        <v>1968.408473949072</v>
      </c>
      <c r="J1210" s="7">
        <f t="shared" si="38"/>
        <v>989.591526050928</v>
      </c>
      <c r="K1210" s="1">
        <f>IF(B1210="North",28.6,
IF(B1210="South",13,
IF(B1210="East",22.6,
IF(B1210="West",19,
23.5))))</f>
        <v>28.6</v>
      </c>
      <c r="L1210" s="1">
        <f>IF(B1210="North",77.2,
IF(B1210="South",80.2,
IF(B1210="East",88.4,
IF(B1210="West",72.8,
78.9))))</f>
        <v>77.2</v>
      </c>
    </row>
    <row r="1211" spans="1:12" x14ac:dyDescent="0.25">
      <c r="A1211" s="5">
        <v>45409</v>
      </c>
      <c r="B1211" s="1" t="s">
        <v>11</v>
      </c>
      <c r="C1211" s="1" t="s">
        <v>22</v>
      </c>
      <c r="D1211" s="1" t="s">
        <v>32</v>
      </c>
      <c r="E1211" s="10">
        <v>13</v>
      </c>
      <c r="F1211" s="10">
        <v>932</v>
      </c>
      <c r="G1211" s="1" t="s">
        <v>35</v>
      </c>
      <c r="H1211" s="10">
        <f t="shared" si="37"/>
        <v>12116</v>
      </c>
      <c r="I1211" s="7">
        <v>10170.08527057844</v>
      </c>
      <c r="J1211" s="7">
        <f t="shared" si="38"/>
        <v>1945.91472942156</v>
      </c>
      <c r="K1211" s="1">
        <f>IF(B1211="North",28.6,
IF(B1211="South",13,
IF(B1211="East",22.6,
IF(B1211="West",19,
23.5))))</f>
        <v>19</v>
      </c>
      <c r="L1211" s="1">
        <f>IF(B1211="North",77.2,
IF(B1211="South",80.2,
IF(B1211="East",88.4,
IF(B1211="West",72.8,
78.9))))</f>
        <v>72.8</v>
      </c>
    </row>
    <row r="1212" spans="1:12" x14ac:dyDescent="0.25">
      <c r="A1212" s="5">
        <v>45633</v>
      </c>
      <c r="B1212" s="1" t="s">
        <v>11</v>
      </c>
      <c r="C1212" s="1" t="s">
        <v>22</v>
      </c>
      <c r="D1212" s="1" t="s">
        <v>31</v>
      </c>
      <c r="E1212" s="10">
        <v>19</v>
      </c>
      <c r="F1212" s="10">
        <v>1165</v>
      </c>
      <c r="G1212" s="1" t="s">
        <v>35</v>
      </c>
      <c r="H1212" s="10">
        <f t="shared" si="37"/>
        <v>22135</v>
      </c>
      <c r="I1212" s="7">
        <v>14541.911329532881</v>
      </c>
      <c r="J1212" s="7">
        <f t="shared" si="38"/>
        <v>7593.0886704671193</v>
      </c>
      <c r="K1212" s="1">
        <f>IF(B1212="North",28.6,
IF(B1212="South",13,
IF(B1212="East",22.6,
IF(B1212="West",19,
23.5))))</f>
        <v>19</v>
      </c>
      <c r="L1212" s="1">
        <f>IF(B1212="North",77.2,
IF(B1212="South",80.2,
IF(B1212="East",88.4,
IF(B1212="West",72.8,
78.9))))</f>
        <v>72.8</v>
      </c>
    </row>
    <row r="1213" spans="1:12" x14ac:dyDescent="0.25">
      <c r="A1213" s="5">
        <v>45354</v>
      </c>
      <c r="B1213" s="1" t="s">
        <v>12</v>
      </c>
      <c r="C1213" s="1" t="s">
        <v>20</v>
      </c>
      <c r="D1213" s="1" t="s">
        <v>32</v>
      </c>
      <c r="E1213" s="10">
        <v>2</v>
      </c>
      <c r="F1213" s="10">
        <v>696</v>
      </c>
      <c r="G1213" s="1" t="s">
        <v>33</v>
      </c>
      <c r="H1213" s="10">
        <f t="shared" si="37"/>
        <v>1392</v>
      </c>
      <c r="I1213" s="7">
        <v>1136.4426770016621</v>
      </c>
      <c r="J1213" s="7">
        <f t="shared" si="38"/>
        <v>255.5573229983379</v>
      </c>
      <c r="K1213" s="1">
        <f>IF(B1213="North",28.6,
IF(B1213="South",13,
IF(B1213="East",22.6,
IF(B1213="West",19,
23.5))))</f>
        <v>22.6</v>
      </c>
      <c r="L1213" s="1">
        <f>IF(B1213="North",77.2,
IF(B1213="South",80.2,
IF(B1213="East",88.4,
IF(B1213="West",72.8,
78.9))))</f>
        <v>88.4</v>
      </c>
    </row>
    <row r="1214" spans="1:12" x14ac:dyDescent="0.25">
      <c r="A1214" s="5">
        <v>45480</v>
      </c>
      <c r="B1214" s="1" t="s">
        <v>11</v>
      </c>
      <c r="C1214" s="1" t="s">
        <v>21</v>
      </c>
      <c r="D1214" s="1" t="s">
        <v>26</v>
      </c>
      <c r="E1214" s="10">
        <v>12</v>
      </c>
      <c r="F1214" s="10">
        <v>492</v>
      </c>
      <c r="G1214" s="1" t="s">
        <v>35</v>
      </c>
      <c r="H1214" s="10">
        <f t="shared" si="37"/>
        <v>5904</v>
      </c>
      <c r="I1214" s="7">
        <v>4132.3418725521497</v>
      </c>
      <c r="J1214" s="7">
        <f t="shared" si="38"/>
        <v>1771.6581274478503</v>
      </c>
      <c r="K1214" s="1">
        <f>IF(B1214="North",28.6,
IF(B1214="South",13,
IF(B1214="East",22.6,
IF(B1214="West",19,
23.5))))</f>
        <v>19</v>
      </c>
      <c r="L1214" s="1">
        <f>IF(B1214="North",77.2,
IF(B1214="South",80.2,
IF(B1214="East",88.4,
IF(B1214="West",72.8,
78.9))))</f>
        <v>72.8</v>
      </c>
    </row>
    <row r="1215" spans="1:12" x14ac:dyDescent="0.25">
      <c r="A1215" s="5">
        <v>45651</v>
      </c>
      <c r="B1215" s="1" t="s">
        <v>13</v>
      </c>
      <c r="C1215" s="1" t="s">
        <v>17</v>
      </c>
      <c r="D1215" s="1" t="s">
        <v>28</v>
      </c>
      <c r="E1215" s="10">
        <v>15</v>
      </c>
      <c r="F1215" s="10">
        <v>799</v>
      </c>
      <c r="G1215" s="1" t="s">
        <v>33</v>
      </c>
      <c r="H1215" s="10">
        <f t="shared" si="37"/>
        <v>11985</v>
      </c>
      <c r="I1215" s="7">
        <v>9287.6079416234297</v>
      </c>
      <c r="J1215" s="7">
        <f t="shared" si="38"/>
        <v>2697.3920583765703</v>
      </c>
      <c r="K1215" s="1">
        <f>IF(B1215="North",28.6,
IF(B1215="South",13,
IF(B1215="East",22.6,
IF(B1215="West",19,
23.5))))</f>
        <v>13</v>
      </c>
      <c r="L1215" s="1">
        <f>IF(B1215="North",77.2,
IF(B1215="South",80.2,
IF(B1215="East",88.4,
IF(B1215="West",72.8,
78.9))))</f>
        <v>80.2</v>
      </c>
    </row>
    <row r="1216" spans="1:12" x14ac:dyDescent="0.25">
      <c r="A1216" s="5">
        <v>45340</v>
      </c>
      <c r="B1216" s="1" t="s">
        <v>13</v>
      </c>
      <c r="C1216" s="1" t="s">
        <v>24</v>
      </c>
      <c r="D1216" s="1" t="s">
        <v>29</v>
      </c>
      <c r="E1216" s="10">
        <v>14</v>
      </c>
      <c r="F1216" s="10">
        <v>1746</v>
      </c>
      <c r="G1216" s="1" t="s">
        <v>35</v>
      </c>
      <c r="H1216" s="10">
        <f t="shared" si="37"/>
        <v>24444</v>
      </c>
      <c r="I1216" s="7">
        <v>14949.91481678417</v>
      </c>
      <c r="J1216" s="7">
        <f t="shared" si="38"/>
        <v>9494.0851832158296</v>
      </c>
      <c r="K1216" s="1">
        <f>IF(B1216="North",28.6,
IF(B1216="South",13,
IF(B1216="East",22.6,
IF(B1216="West",19,
23.5))))</f>
        <v>13</v>
      </c>
      <c r="L1216" s="1">
        <f>IF(B1216="North",77.2,
IF(B1216="South",80.2,
IF(B1216="East",88.4,
IF(B1216="West",72.8,
78.9))))</f>
        <v>80.2</v>
      </c>
    </row>
    <row r="1217" spans="1:12" x14ac:dyDescent="0.25">
      <c r="A1217" s="5">
        <v>45618</v>
      </c>
      <c r="B1217" s="1" t="s">
        <v>12</v>
      </c>
      <c r="C1217" s="1" t="s">
        <v>17</v>
      </c>
      <c r="D1217" s="1" t="s">
        <v>27</v>
      </c>
      <c r="E1217" s="10">
        <v>6</v>
      </c>
      <c r="F1217" s="10">
        <v>1906</v>
      </c>
      <c r="G1217" s="1" t="s">
        <v>33</v>
      </c>
      <c r="H1217" s="10">
        <f t="shared" si="37"/>
        <v>11436</v>
      </c>
      <c r="I1217" s="7">
        <v>8560.6846053825866</v>
      </c>
      <c r="J1217" s="7">
        <f t="shared" si="38"/>
        <v>2875.3153946174134</v>
      </c>
      <c r="K1217" s="1">
        <f>IF(B1217="North",28.6,
IF(B1217="South",13,
IF(B1217="East",22.6,
IF(B1217="West",19,
23.5))))</f>
        <v>22.6</v>
      </c>
      <c r="L1217" s="1">
        <f>IF(B1217="North",77.2,
IF(B1217="South",80.2,
IF(B1217="East",88.4,
IF(B1217="West",72.8,
78.9))))</f>
        <v>88.4</v>
      </c>
    </row>
    <row r="1218" spans="1:12" x14ac:dyDescent="0.25">
      <c r="A1218" s="5">
        <v>45548</v>
      </c>
      <c r="B1218" s="1" t="s">
        <v>10</v>
      </c>
      <c r="C1218" s="1" t="s">
        <v>24</v>
      </c>
      <c r="D1218" s="1" t="s">
        <v>26</v>
      </c>
      <c r="E1218" s="10">
        <v>18</v>
      </c>
      <c r="F1218" s="10">
        <v>540</v>
      </c>
      <c r="G1218" s="1" t="s">
        <v>35</v>
      </c>
      <c r="H1218" s="10">
        <f t="shared" si="37"/>
        <v>9720</v>
      </c>
      <c r="I1218" s="7">
        <v>6265.5739009512163</v>
      </c>
      <c r="J1218" s="7">
        <f t="shared" si="38"/>
        <v>3454.4260990487837</v>
      </c>
      <c r="K1218" s="1">
        <f>IF(B1218="North",28.6,
IF(B1218="South",13,
IF(B1218="East",22.6,
IF(B1218="West",19,
23.5))))</f>
        <v>28.6</v>
      </c>
      <c r="L1218" s="1">
        <f>IF(B1218="North",77.2,
IF(B1218="South",80.2,
IF(B1218="East",88.4,
IF(B1218="West",72.8,
78.9))))</f>
        <v>77.2</v>
      </c>
    </row>
    <row r="1219" spans="1:12" x14ac:dyDescent="0.25">
      <c r="A1219" s="5">
        <v>45515</v>
      </c>
      <c r="B1219" s="1" t="s">
        <v>12</v>
      </c>
      <c r="C1219" s="1" t="s">
        <v>20</v>
      </c>
      <c r="D1219" s="1" t="s">
        <v>28</v>
      </c>
      <c r="E1219" s="10">
        <v>5</v>
      </c>
      <c r="F1219" s="10">
        <v>1960</v>
      </c>
      <c r="G1219" s="1" t="s">
        <v>33</v>
      </c>
      <c r="H1219" s="10">
        <f t="shared" ref="H1219:H1282" si="39">E1219*F1219</f>
        <v>9800</v>
      </c>
      <c r="I1219" s="7">
        <v>7309.7814681121381</v>
      </c>
      <c r="J1219" s="7">
        <f t="shared" ref="J1219:J1282" si="40">H1219-I1219</f>
        <v>2490.2185318878619</v>
      </c>
      <c r="K1219" s="1">
        <f>IF(B1219="North",28.6,
IF(B1219="South",13,
IF(B1219="East",22.6,
IF(B1219="West",19,
23.5))))</f>
        <v>22.6</v>
      </c>
      <c r="L1219" s="1">
        <f>IF(B1219="North",77.2,
IF(B1219="South",80.2,
IF(B1219="East",88.4,
IF(B1219="West",72.8,
78.9))))</f>
        <v>88.4</v>
      </c>
    </row>
    <row r="1220" spans="1:12" x14ac:dyDescent="0.25">
      <c r="A1220" s="5">
        <v>45432</v>
      </c>
      <c r="B1220" s="1" t="s">
        <v>11</v>
      </c>
      <c r="C1220" s="1" t="s">
        <v>22</v>
      </c>
      <c r="D1220" s="1" t="s">
        <v>32</v>
      </c>
      <c r="E1220" s="10">
        <v>18</v>
      </c>
      <c r="F1220" s="10">
        <v>1740</v>
      </c>
      <c r="G1220" s="1" t="s">
        <v>35</v>
      </c>
      <c r="H1220" s="10">
        <f t="shared" si="39"/>
        <v>31320</v>
      </c>
      <c r="I1220" s="7">
        <v>20120.210393806261</v>
      </c>
      <c r="J1220" s="7">
        <f t="shared" si="40"/>
        <v>11199.789606193739</v>
      </c>
      <c r="K1220" s="1">
        <f>IF(B1220="North",28.6,
IF(B1220="South",13,
IF(B1220="East",22.6,
IF(B1220="West",19,
23.5))))</f>
        <v>19</v>
      </c>
      <c r="L1220" s="1">
        <f>IF(B1220="North",77.2,
IF(B1220="South",80.2,
IF(B1220="East",88.4,
IF(B1220="West",72.8,
78.9))))</f>
        <v>72.8</v>
      </c>
    </row>
    <row r="1221" spans="1:12" x14ac:dyDescent="0.25">
      <c r="A1221" s="5">
        <v>45506</v>
      </c>
      <c r="B1221" s="1" t="s">
        <v>13</v>
      </c>
      <c r="C1221" s="1" t="s">
        <v>21</v>
      </c>
      <c r="D1221" s="1" t="s">
        <v>32</v>
      </c>
      <c r="E1221" s="10">
        <v>3</v>
      </c>
      <c r="F1221" s="10">
        <v>1629</v>
      </c>
      <c r="G1221" s="1" t="s">
        <v>35</v>
      </c>
      <c r="H1221" s="10">
        <f t="shared" si="39"/>
        <v>4887</v>
      </c>
      <c r="I1221" s="7">
        <v>3573.0163590363309</v>
      </c>
      <c r="J1221" s="7">
        <f t="shared" si="40"/>
        <v>1313.9836409636691</v>
      </c>
      <c r="K1221" s="1">
        <f>IF(B1221="North",28.6,
IF(B1221="South",13,
IF(B1221="East",22.6,
IF(B1221="West",19,
23.5))))</f>
        <v>13</v>
      </c>
      <c r="L1221" s="1">
        <f>IF(B1221="North",77.2,
IF(B1221="South",80.2,
IF(B1221="East",88.4,
IF(B1221="West",72.8,
78.9))))</f>
        <v>80.2</v>
      </c>
    </row>
    <row r="1222" spans="1:12" x14ac:dyDescent="0.25">
      <c r="A1222" s="5">
        <v>45502</v>
      </c>
      <c r="B1222" s="1" t="s">
        <v>10</v>
      </c>
      <c r="C1222" s="1" t="s">
        <v>22</v>
      </c>
      <c r="D1222" s="1" t="s">
        <v>26</v>
      </c>
      <c r="E1222" s="10">
        <v>3</v>
      </c>
      <c r="F1222" s="10">
        <v>1017</v>
      </c>
      <c r="G1222" s="1" t="s">
        <v>35</v>
      </c>
      <c r="H1222" s="10">
        <f t="shared" si="39"/>
        <v>3051</v>
      </c>
      <c r="I1222" s="7">
        <v>1931.851236758614</v>
      </c>
      <c r="J1222" s="7">
        <f t="shared" si="40"/>
        <v>1119.148763241386</v>
      </c>
      <c r="K1222" s="1">
        <f>IF(B1222="North",28.6,
IF(B1222="South",13,
IF(B1222="East",22.6,
IF(B1222="West",19,
23.5))))</f>
        <v>28.6</v>
      </c>
      <c r="L1222" s="1">
        <f>IF(B1222="North",77.2,
IF(B1222="South",80.2,
IF(B1222="East",88.4,
IF(B1222="West",72.8,
78.9))))</f>
        <v>77.2</v>
      </c>
    </row>
    <row r="1223" spans="1:12" x14ac:dyDescent="0.25">
      <c r="A1223" s="5">
        <v>45609</v>
      </c>
      <c r="B1223" s="1" t="s">
        <v>12</v>
      </c>
      <c r="C1223" s="1" t="s">
        <v>17</v>
      </c>
      <c r="D1223" s="1" t="s">
        <v>31</v>
      </c>
      <c r="E1223" s="10">
        <v>10</v>
      </c>
      <c r="F1223" s="10">
        <v>419</v>
      </c>
      <c r="G1223" s="1" t="s">
        <v>33</v>
      </c>
      <c r="H1223" s="10">
        <f t="shared" si="39"/>
        <v>4190</v>
      </c>
      <c r="I1223" s="7">
        <v>2790.4790577920098</v>
      </c>
      <c r="J1223" s="7">
        <f t="shared" si="40"/>
        <v>1399.5209422079902</v>
      </c>
      <c r="K1223" s="1">
        <f>IF(B1223="North",28.6,
IF(B1223="South",13,
IF(B1223="East",22.6,
IF(B1223="West",19,
23.5))))</f>
        <v>22.6</v>
      </c>
      <c r="L1223" s="1">
        <f>IF(B1223="North",77.2,
IF(B1223="South",80.2,
IF(B1223="East",88.4,
IF(B1223="West",72.8,
78.9))))</f>
        <v>88.4</v>
      </c>
    </row>
    <row r="1224" spans="1:12" x14ac:dyDescent="0.25">
      <c r="A1224" s="5">
        <v>45323</v>
      </c>
      <c r="B1224" s="1" t="s">
        <v>12</v>
      </c>
      <c r="C1224" s="1" t="s">
        <v>22</v>
      </c>
      <c r="D1224" s="1" t="s">
        <v>32</v>
      </c>
      <c r="E1224" s="10">
        <v>19</v>
      </c>
      <c r="F1224" s="10">
        <v>652</v>
      </c>
      <c r="G1224" s="1" t="s">
        <v>35</v>
      </c>
      <c r="H1224" s="10">
        <f t="shared" si="39"/>
        <v>12388</v>
      </c>
      <c r="I1224" s="7">
        <v>9644.351355906525</v>
      </c>
      <c r="J1224" s="7">
        <f t="shared" si="40"/>
        <v>2743.648644093475</v>
      </c>
      <c r="K1224" s="1">
        <f>IF(B1224="North",28.6,
IF(B1224="South",13,
IF(B1224="East",22.6,
IF(B1224="West",19,
23.5))))</f>
        <v>22.6</v>
      </c>
      <c r="L1224" s="1">
        <f>IF(B1224="North",77.2,
IF(B1224="South",80.2,
IF(B1224="East",88.4,
IF(B1224="West",72.8,
78.9))))</f>
        <v>88.4</v>
      </c>
    </row>
    <row r="1225" spans="1:12" x14ac:dyDescent="0.25">
      <c r="A1225" s="5">
        <v>45449</v>
      </c>
      <c r="B1225" s="1" t="s">
        <v>13</v>
      </c>
      <c r="C1225" s="1" t="s">
        <v>20</v>
      </c>
      <c r="D1225" s="1" t="s">
        <v>31</v>
      </c>
      <c r="E1225" s="10">
        <v>3</v>
      </c>
      <c r="F1225" s="10">
        <v>1338</v>
      </c>
      <c r="G1225" s="1" t="s">
        <v>33</v>
      </c>
      <c r="H1225" s="10">
        <f t="shared" si="39"/>
        <v>4014</v>
      </c>
      <c r="I1225" s="7">
        <v>3584.4947393284529</v>
      </c>
      <c r="J1225" s="7">
        <f t="shared" si="40"/>
        <v>429.50526067154715</v>
      </c>
      <c r="K1225" s="1">
        <f>IF(B1225="North",28.6,
IF(B1225="South",13,
IF(B1225="East",22.6,
IF(B1225="West",19,
23.5))))</f>
        <v>13</v>
      </c>
      <c r="L1225" s="1">
        <f>IF(B1225="North",77.2,
IF(B1225="South",80.2,
IF(B1225="East",88.4,
IF(B1225="West",72.8,
78.9))))</f>
        <v>80.2</v>
      </c>
    </row>
    <row r="1226" spans="1:12" x14ac:dyDescent="0.25">
      <c r="A1226" s="5">
        <v>45576</v>
      </c>
      <c r="B1226" s="1" t="s">
        <v>12</v>
      </c>
      <c r="C1226" s="1" t="s">
        <v>21</v>
      </c>
      <c r="D1226" s="1" t="s">
        <v>31</v>
      </c>
      <c r="E1226" s="10">
        <v>12</v>
      </c>
      <c r="F1226" s="10">
        <v>1194</v>
      </c>
      <c r="G1226" s="1" t="s">
        <v>35</v>
      </c>
      <c r="H1226" s="10">
        <f t="shared" si="39"/>
        <v>14328</v>
      </c>
      <c r="I1226" s="7">
        <v>10527.575808456049</v>
      </c>
      <c r="J1226" s="7">
        <f t="shared" si="40"/>
        <v>3800.4241915439507</v>
      </c>
      <c r="K1226" s="1">
        <f>IF(B1226="North",28.6,
IF(B1226="South",13,
IF(B1226="East",22.6,
IF(B1226="West",19,
23.5))))</f>
        <v>22.6</v>
      </c>
      <c r="L1226" s="1">
        <f>IF(B1226="North",77.2,
IF(B1226="South",80.2,
IF(B1226="East",88.4,
IF(B1226="West",72.8,
78.9))))</f>
        <v>88.4</v>
      </c>
    </row>
    <row r="1227" spans="1:12" x14ac:dyDescent="0.25">
      <c r="A1227" s="5">
        <v>45596</v>
      </c>
      <c r="B1227" s="1" t="s">
        <v>12</v>
      </c>
      <c r="C1227" s="1" t="s">
        <v>17</v>
      </c>
      <c r="D1227" s="1" t="s">
        <v>29</v>
      </c>
      <c r="E1227" s="10">
        <v>16</v>
      </c>
      <c r="F1227" s="10">
        <v>667</v>
      </c>
      <c r="G1227" s="1" t="s">
        <v>33</v>
      </c>
      <c r="H1227" s="10">
        <f t="shared" si="39"/>
        <v>10672</v>
      </c>
      <c r="I1227" s="7">
        <v>8603.2552942585826</v>
      </c>
      <c r="J1227" s="7">
        <f t="shared" si="40"/>
        <v>2068.7447057414174</v>
      </c>
      <c r="K1227" s="1">
        <f>IF(B1227="North",28.6,
IF(B1227="South",13,
IF(B1227="East",22.6,
IF(B1227="West",19,
23.5))))</f>
        <v>22.6</v>
      </c>
      <c r="L1227" s="1">
        <f>IF(B1227="North",77.2,
IF(B1227="South",80.2,
IF(B1227="East",88.4,
IF(B1227="West",72.8,
78.9))))</f>
        <v>88.4</v>
      </c>
    </row>
    <row r="1228" spans="1:12" x14ac:dyDescent="0.25">
      <c r="A1228" s="5">
        <v>45577</v>
      </c>
      <c r="B1228" s="1" t="s">
        <v>13</v>
      </c>
      <c r="C1228" s="1" t="s">
        <v>21</v>
      </c>
      <c r="D1228" s="1" t="s">
        <v>31</v>
      </c>
      <c r="E1228" s="10">
        <v>17</v>
      </c>
      <c r="F1228" s="10">
        <v>1018</v>
      </c>
      <c r="G1228" s="1" t="s">
        <v>35</v>
      </c>
      <c r="H1228" s="10">
        <f t="shared" si="39"/>
        <v>17306</v>
      </c>
      <c r="I1228" s="7">
        <v>13184.18500712819</v>
      </c>
      <c r="J1228" s="7">
        <f t="shared" si="40"/>
        <v>4121.8149928718103</v>
      </c>
      <c r="K1228" s="1">
        <f>IF(B1228="North",28.6,
IF(B1228="South",13,
IF(B1228="East",22.6,
IF(B1228="West",19,
23.5))))</f>
        <v>13</v>
      </c>
      <c r="L1228" s="1">
        <f>IF(B1228="North",77.2,
IF(B1228="South",80.2,
IF(B1228="East",88.4,
IF(B1228="West",72.8,
78.9))))</f>
        <v>80.2</v>
      </c>
    </row>
    <row r="1229" spans="1:12" x14ac:dyDescent="0.25">
      <c r="A1229" s="5">
        <v>45435</v>
      </c>
      <c r="B1229" s="1" t="s">
        <v>11</v>
      </c>
      <c r="C1229" s="1" t="s">
        <v>18</v>
      </c>
      <c r="D1229" s="1" t="s">
        <v>30</v>
      </c>
      <c r="E1229" s="10">
        <v>7</v>
      </c>
      <c r="F1229" s="10">
        <v>335</v>
      </c>
      <c r="G1229" s="1" t="s">
        <v>34</v>
      </c>
      <c r="H1229" s="10">
        <f t="shared" si="39"/>
        <v>2345</v>
      </c>
      <c r="I1229" s="7">
        <v>1757.5948067761369</v>
      </c>
      <c r="J1229" s="7">
        <f t="shared" si="40"/>
        <v>587.40519322386308</v>
      </c>
      <c r="K1229" s="1">
        <f>IF(B1229="North",28.6,
IF(B1229="South",13,
IF(B1229="East",22.6,
IF(B1229="West",19,
23.5))))</f>
        <v>19</v>
      </c>
      <c r="L1229" s="1">
        <f>IF(B1229="North",77.2,
IF(B1229="South",80.2,
IF(B1229="East",88.4,
IF(B1229="West",72.8,
78.9))))</f>
        <v>72.8</v>
      </c>
    </row>
    <row r="1230" spans="1:12" x14ac:dyDescent="0.25">
      <c r="A1230" s="5">
        <v>45310</v>
      </c>
      <c r="B1230" s="1" t="s">
        <v>11</v>
      </c>
      <c r="C1230" s="1" t="s">
        <v>24</v>
      </c>
      <c r="D1230" s="1" t="s">
        <v>29</v>
      </c>
      <c r="E1230" s="10">
        <v>13</v>
      </c>
      <c r="F1230" s="10">
        <v>1404</v>
      </c>
      <c r="G1230" s="1" t="s">
        <v>35</v>
      </c>
      <c r="H1230" s="10">
        <f t="shared" si="39"/>
        <v>18252</v>
      </c>
      <c r="I1230" s="7">
        <v>11305.494300216291</v>
      </c>
      <c r="J1230" s="7">
        <f t="shared" si="40"/>
        <v>6946.5056997837091</v>
      </c>
      <c r="K1230" s="1">
        <f>IF(B1230="North",28.6,
IF(B1230="South",13,
IF(B1230="East",22.6,
IF(B1230="West",19,
23.5))))</f>
        <v>19</v>
      </c>
      <c r="L1230" s="1">
        <f>IF(B1230="North",77.2,
IF(B1230="South",80.2,
IF(B1230="East",88.4,
IF(B1230="West",72.8,
78.9))))</f>
        <v>72.8</v>
      </c>
    </row>
    <row r="1231" spans="1:12" x14ac:dyDescent="0.25">
      <c r="A1231" s="5">
        <v>45309</v>
      </c>
      <c r="B1231" s="1" t="s">
        <v>12</v>
      </c>
      <c r="C1231" s="1" t="s">
        <v>22</v>
      </c>
      <c r="D1231" s="1" t="s">
        <v>28</v>
      </c>
      <c r="E1231" s="10">
        <v>2</v>
      </c>
      <c r="F1231" s="10">
        <v>1086</v>
      </c>
      <c r="G1231" s="1" t="s">
        <v>35</v>
      </c>
      <c r="H1231" s="10">
        <f t="shared" si="39"/>
        <v>2172</v>
      </c>
      <c r="I1231" s="7">
        <v>1397.2241873225721</v>
      </c>
      <c r="J1231" s="7">
        <f t="shared" si="40"/>
        <v>774.77581267742789</v>
      </c>
      <c r="K1231" s="1">
        <f>IF(B1231="North",28.6,
IF(B1231="South",13,
IF(B1231="East",22.6,
IF(B1231="West",19,
23.5))))</f>
        <v>22.6</v>
      </c>
      <c r="L1231" s="1">
        <f>IF(B1231="North",77.2,
IF(B1231="South",80.2,
IF(B1231="East",88.4,
IF(B1231="West",72.8,
78.9))))</f>
        <v>88.4</v>
      </c>
    </row>
    <row r="1232" spans="1:12" x14ac:dyDescent="0.25">
      <c r="A1232" s="5">
        <v>45548</v>
      </c>
      <c r="B1232" s="1" t="s">
        <v>11</v>
      </c>
      <c r="C1232" s="1" t="s">
        <v>21</v>
      </c>
      <c r="D1232" s="1" t="s">
        <v>28</v>
      </c>
      <c r="E1232" s="10">
        <v>4</v>
      </c>
      <c r="F1232" s="10">
        <v>1740</v>
      </c>
      <c r="G1232" s="1" t="s">
        <v>35</v>
      </c>
      <c r="H1232" s="10">
        <f t="shared" si="39"/>
        <v>6960</v>
      </c>
      <c r="I1232" s="7">
        <v>6019.8245386376011</v>
      </c>
      <c r="J1232" s="7">
        <f t="shared" si="40"/>
        <v>940.17546136239889</v>
      </c>
      <c r="K1232" s="1">
        <f>IF(B1232="North",28.6,
IF(B1232="South",13,
IF(B1232="East",22.6,
IF(B1232="West",19,
23.5))))</f>
        <v>19</v>
      </c>
      <c r="L1232" s="1">
        <f>IF(B1232="North",77.2,
IF(B1232="South",80.2,
IF(B1232="East",88.4,
IF(B1232="West",72.8,
78.9))))</f>
        <v>72.8</v>
      </c>
    </row>
    <row r="1233" spans="1:12" x14ac:dyDescent="0.25">
      <c r="A1233" s="5">
        <v>45369</v>
      </c>
      <c r="B1233" s="1" t="s">
        <v>11</v>
      </c>
      <c r="C1233" s="1" t="s">
        <v>19</v>
      </c>
      <c r="D1233" s="1" t="s">
        <v>32</v>
      </c>
      <c r="E1233" s="10">
        <v>10</v>
      </c>
      <c r="F1233" s="10">
        <v>1285</v>
      </c>
      <c r="G1233" s="1" t="s">
        <v>35</v>
      </c>
      <c r="H1233" s="10">
        <f t="shared" si="39"/>
        <v>12850</v>
      </c>
      <c r="I1233" s="7">
        <v>9291.1834344861509</v>
      </c>
      <c r="J1233" s="7">
        <f t="shared" si="40"/>
        <v>3558.8165655138491</v>
      </c>
      <c r="K1233" s="1">
        <f>IF(B1233="North",28.6,
IF(B1233="South",13,
IF(B1233="East",22.6,
IF(B1233="West",19,
23.5))))</f>
        <v>19</v>
      </c>
      <c r="L1233" s="1">
        <f>IF(B1233="North",77.2,
IF(B1233="South",80.2,
IF(B1233="East",88.4,
IF(B1233="West",72.8,
78.9))))</f>
        <v>72.8</v>
      </c>
    </row>
    <row r="1234" spans="1:12" x14ac:dyDescent="0.25">
      <c r="A1234" s="5">
        <v>45466</v>
      </c>
      <c r="B1234" s="1" t="s">
        <v>12</v>
      </c>
      <c r="C1234" s="1" t="s">
        <v>18</v>
      </c>
      <c r="D1234" s="1" t="s">
        <v>32</v>
      </c>
      <c r="E1234" s="10">
        <v>7</v>
      </c>
      <c r="F1234" s="10">
        <v>1314</v>
      </c>
      <c r="G1234" s="1" t="s">
        <v>34</v>
      </c>
      <c r="H1234" s="10">
        <f t="shared" si="39"/>
        <v>9198</v>
      </c>
      <c r="I1234" s="7">
        <v>7213.9890358880721</v>
      </c>
      <c r="J1234" s="7">
        <f t="shared" si="40"/>
        <v>1984.0109641119279</v>
      </c>
      <c r="K1234" s="1">
        <f>IF(B1234="North",28.6,
IF(B1234="South",13,
IF(B1234="East",22.6,
IF(B1234="West",19,
23.5))))</f>
        <v>22.6</v>
      </c>
      <c r="L1234" s="1">
        <f>IF(B1234="North",77.2,
IF(B1234="South",80.2,
IF(B1234="East",88.4,
IF(B1234="West",72.8,
78.9))))</f>
        <v>88.4</v>
      </c>
    </row>
    <row r="1235" spans="1:12" x14ac:dyDescent="0.25">
      <c r="A1235" s="5">
        <v>45485</v>
      </c>
      <c r="B1235" s="1" t="s">
        <v>11</v>
      </c>
      <c r="C1235" s="1" t="s">
        <v>22</v>
      </c>
      <c r="D1235" s="1" t="s">
        <v>31</v>
      </c>
      <c r="E1235" s="10">
        <v>17</v>
      </c>
      <c r="F1235" s="10">
        <v>1132</v>
      </c>
      <c r="G1235" s="1" t="s">
        <v>35</v>
      </c>
      <c r="H1235" s="10">
        <f t="shared" si="39"/>
        <v>19244</v>
      </c>
      <c r="I1235" s="7">
        <v>14595.99609911</v>
      </c>
      <c r="J1235" s="7">
        <f t="shared" si="40"/>
        <v>4648.0039008900003</v>
      </c>
      <c r="K1235" s="1">
        <f>IF(B1235="North",28.6,
IF(B1235="South",13,
IF(B1235="East",22.6,
IF(B1235="West",19,
23.5))))</f>
        <v>19</v>
      </c>
      <c r="L1235" s="1">
        <f>IF(B1235="North",77.2,
IF(B1235="South",80.2,
IF(B1235="East",88.4,
IF(B1235="West",72.8,
78.9))))</f>
        <v>72.8</v>
      </c>
    </row>
    <row r="1236" spans="1:12" x14ac:dyDescent="0.25">
      <c r="A1236" s="5">
        <v>45404</v>
      </c>
      <c r="B1236" s="1" t="s">
        <v>12</v>
      </c>
      <c r="C1236" s="1" t="s">
        <v>24</v>
      </c>
      <c r="D1236" s="1" t="s">
        <v>29</v>
      </c>
      <c r="E1236" s="10">
        <v>6</v>
      </c>
      <c r="F1236" s="10">
        <v>159</v>
      </c>
      <c r="G1236" s="1" t="s">
        <v>35</v>
      </c>
      <c r="H1236" s="10">
        <f t="shared" si="39"/>
        <v>954</v>
      </c>
      <c r="I1236" s="7">
        <v>680.83613702756338</v>
      </c>
      <c r="J1236" s="7">
        <f t="shared" si="40"/>
        <v>273.16386297243662</v>
      </c>
      <c r="K1236" s="1">
        <f>IF(B1236="North",28.6,
IF(B1236="South",13,
IF(B1236="East",22.6,
IF(B1236="West",19,
23.5))))</f>
        <v>22.6</v>
      </c>
      <c r="L1236" s="1">
        <f>IF(B1236="North",77.2,
IF(B1236="South",80.2,
IF(B1236="East",88.4,
IF(B1236="West",72.8,
78.9))))</f>
        <v>88.4</v>
      </c>
    </row>
    <row r="1237" spans="1:12" x14ac:dyDescent="0.25">
      <c r="A1237" s="5">
        <v>45405</v>
      </c>
      <c r="B1237" s="1" t="s">
        <v>10</v>
      </c>
      <c r="C1237" s="1" t="s">
        <v>21</v>
      </c>
      <c r="D1237" s="1" t="s">
        <v>29</v>
      </c>
      <c r="E1237" s="10">
        <v>19</v>
      </c>
      <c r="F1237" s="10">
        <v>992</v>
      </c>
      <c r="G1237" s="1" t="s">
        <v>35</v>
      </c>
      <c r="H1237" s="10">
        <f t="shared" si="39"/>
        <v>18848</v>
      </c>
      <c r="I1237" s="7">
        <v>13501.66985853925</v>
      </c>
      <c r="J1237" s="7">
        <f t="shared" si="40"/>
        <v>5346.3301414607504</v>
      </c>
      <c r="K1237" s="1">
        <f>IF(B1237="North",28.6,
IF(B1237="South",13,
IF(B1237="East",22.6,
IF(B1237="West",19,
23.5))))</f>
        <v>28.6</v>
      </c>
      <c r="L1237" s="1">
        <f>IF(B1237="North",77.2,
IF(B1237="South",80.2,
IF(B1237="East",88.4,
IF(B1237="West",72.8,
78.9))))</f>
        <v>77.2</v>
      </c>
    </row>
    <row r="1238" spans="1:12" x14ac:dyDescent="0.25">
      <c r="A1238" s="5">
        <v>45513</v>
      </c>
      <c r="B1238" s="1" t="s">
        <v>13</v>
      </c>
      <c r="C1238" s="1" t="s">
        <v>17</v>
      </c>
      <c r="D1238" s="1" t="s">
        <v>30</v>
      </c>
      <c r="E1238" s="10">
        <v>5</v>
      </c>
      <c r="F1238" s="10">
        <v>1940</v>
      </c>
      <c r="G1238" s="1" t="s">
        <v>33</v>
      </c>
      <c r="H1238" s="10">
        <f t="shared" si="39"/>
        <v>9700</v>
      </c>
      <c r="I1238" s="7">
        <v>7436.4031671942384</v>
      </c>
      <c r="J1238" s="7">
        <f t="shared" si="40"/>
        <v>2263.5968328057616</v>
      </c>
      <c r="K1238" s="1">
        <f>IF(B1238="North",28.6,
IF(B1238="South",13,
IF(B1238="East",22.6,
IF(B1238="West",19,
23.5))))</f>
        <v>13</v>
      </c>
      <c r="L1238" s="1">
        <f>IF(B1238="North",77.2,
IF(B1238="South",80.2,
IF(B1238="East",88.4,
IF(B1238="West",72.8,
78.9))))</f>
        <v>80.2</v>
      </c>
    </row>
    <row r="1239" spans="1:12" x14ac:dyDescent="0.25">
      <c r="A1239" s="5">
        <v>45457</v>
      </c>
      <c r="B1239" s="1" t="s">
        <v>13</v>
      </c>
      <c r="C1239" s="1" t="s">
        <v>24</v>
      </c>
      <c r="D1239" s="1" t="s">
        <v>31</v>
      </c>
      <c r="E1239" s="10">
        <v>10</v>
      </c>
      <c r="F1239" s="10">
        <v>324</v>
      </c>
      <c r="G1239" s="1" t="s">
        <v>35</v>
      </c>
      <c r="H1239" s="10">
        <f t="shared" si="39"/>
        <v>3240</v>
      </c>
      <c r="I1239" s="7">
        <v>2081.1898310344232</v>
      </c>
      <c r="J1239" s="7">
        <f t="shared" si="40"/>
        <v>1158.8101689655768</v>
      </c>
      <c r="K1239" s="1">
        <f>IF(B1239="North",28.6,
IF(B1239="South",13,
IF(B1239="East",22.6,
IF(B1239="West",19,
23.5))))</f>
        <v>13</v>
      </c>
      <c r="L1239" s="1">
        <f>IF(B1239="North",77.2,
IF(B1239="South",80.2,
IF(B1239="East",88.4,
IF(B1239="West",72.8,
78.9))))</f>
        <v>80.2</v>
      </c>
    </row>
    <row r="1240" spans="1:12" x14ac:dyDescent="0.25">
      <c r="A1240" s="5">
        <v>45610</v>
      </c>
      <c r="B1240" s="1" t="s">
        <v>11</v>
      </c>
      <c r="C1240" s="1" t="s">
        <v>19</v>
      </c>
      <c r="D1240" s="1" t="s">
        <v>30</v>
      </c>
      <c r="E1240" s="10">
        <v>9</v>
      </c>
      <c r="F1240" s="10">
        <v>1942</v>
      </c>
      <c r="G1240" s="1" t="s">
        <v>35</v>
      </c>
      <c r="H1240" s="10">
        <f t="shared" si="39"/>
        <v>17478</v>
      </c>
      <c r="I1240" s="7">
        <v>12517.3540516701</v>
      </c>
      <c r="J1240" s="7">
        <f t="shared" si="40"/>
        <v>4960.6459483299004</v>
      </c>
      <c r="K1240" s="1">
        <f>IF(B1240="North",28.6,
IF(B1240="South",13,
IF(B1240="East",22.6,
IF(B1240="West",19,
23.5))))</f>
        <v>19</v>
      </c>
      <c r="L1240" s="1">
        <f>IF(B1240="North",77.2,
IF(B1240="South",80.2,
IF(B1240="East",88.4,
IF(B1240="West",72.8,
78.9))))</f>
        <v>72.8</v>
      </c>
    </row>
    <row r="1241" spans="1:12" x14ac:dyDescent="0.25">
      <c r="A1241" s="5">
        <v>45423</v>
      </c>
      <c r="B1241" s="1" t="s">
        <v>11</v>
      </c>
      <c r="C1241" s="1" t="s">
        <v>21</v>
      </c>
      <c r="D1241" s="1" t="s">
        <v>25</v>
      </c>
      <c r="E1241" s="10">
        <v>13</v>
      </c>
      <c r="F1241" s="10">
        <v>799</v>
      </c>
      <c r="G1241" s="1" t="s">
        <v>35</v>
      </c>
      <c r="H1241" s="10">
        <f t="shared" si="39"/>
        <v>10387</v>
      </c>
      <c r="I1241" s="7">
        <v>7625.0205718158759</v>
      </c>
      <c r="J1241" s="7">
        <f t="shared" si="40"/>
        <v>2761.9794281841241</v>
      </c>
      <c r="K1241" s="1">
        <f>IF(B1241="North",28.6,
IF(B1241="South",13,
IF(B1241="East",22.6,
IF(B1241="West",19,
23.5))))</f>
        <v>19</v>
      </c>
      <c r="L1241" s="1">
        <f>IF(B1241="North",77.2,
IF(B1241="South",80.2,
IF(B1241="East",88.4,
IF(B1241="West",72.8,
78.9))))</f>
        <v>72.8</v>
      </c>
    </row>
    <row r="1242" spans="1:12" x14ac:dyDescent="0.25">
      <c r="A1242" s="5">
        <v>45555</v>
      </c>
      <c r="B1242" s="1" t="s">
        <v>11</v>
      </c>
      <c r="C1242" s="1" t="s">
        <v>23</v>
      </c>
      <c r="D1242" s="1" t="s">
        <v>31</v>
      </c>
      <c r="E1242" s="10">
        <v>19</v>
      </c>
      <c r="F1242" s="10">
        <v>681</v>
      </c>
      <c r="G1242" s="1" t="s">
        <v>34</v>
      </c>
      <c r="H1242" s="10">
        <f t="shared" si="39"/>
        <v>12939</v>
      </c>
      <c r="I1242" s="7">
        <v>11587.364462443609</v>
      </c>
      <c r="J1242" s="7">
        <f t="shared" si="40"/>
        <v>1351.6355375563908</v>
      </c>
      <c r="K1242" s="1">
        <f>IF(B1242="North",28.6,
IF(B1242="South",13,
IF(B1242="East",22.6,
IF(B1242="West",19,
23.5))))</f>
        <v>19</v>
      </c>
      <c r="L1242" s="1">
        <f>IF(B1242="North",77.2,
IF(B1242="South",80.2,
IF(B1242="East",88.4,
IF(B1242="West",72.8,
78.9))))</f>
        <v>72.8</v>
      </c>
    </row>
    <row r="1243" spans="1:12" x14ac:dyDescent="0.25">
      <c r="A1243" s="5">
        <v>45346</v>
      </c>
      <c r="B1243" s="1" t="s">
        <v>13</v>
      </c>
      <c r="C1243" s="1" t="s">
        <v>23</v>
      </c>
      <c r="D1243" s="1" t="s">
        <v>27</v>
      </c>
      <c r="E1243" s="10">
        <v>6</v>
      </c>
      <c r="F1243" s="10">
        <v>1928</v>
      </c>
      <c r="G1243" s="1" t="s">
        <v>34</v>
      </c>
      <c r="H1243" s="10">
        <f t="shared" si="39"/>
        <v>11568</v>
      </c>
      <c r="I1243" s="7">
        <v>8160.4886313291536</v>
      </c>
      <c r="J1243" s="7">
        <f t="shared" si="40"/>
        <v>3407.5113686708464</v>
      </c>
      <c r="K1243" s="1">
        <f>IF(B1243="North",28.6,
IF(B1243="South",13,
IF(B1243="East",22.6,
IF(B1243="West",19,
23.5))))</f>
        <v>13</v>
      </c>
      <c r="L1243" s="1">
        <f>IF(B1243="North",77.2,
IF(B1243="South",80.2,
IF(B1243="East",88.4,
IF(B1243="West",72.8,
78.9))))</f>
        <v>80.2</v>
      </c>
    </row>
    <row r="1244" spans="1:12" x14ac:dyDescent="0.25">
      <c r="A1244" s="5">
        <v>45650</v>
      </c>
      <c r="B1244" s="1" t="s">
        <v>10</v>
      </c>
      <c r="C1244" s="1" t="s">
        <v>20</v>
      </c>
      <c r="D1244" s="1" t="s">
        <v>27</v>
      </c>
      <c r="E1244" s="10">
        <v>4</v>
      </c>
      <c r="F1244" s="10">
        <v>1410</v>
      </c>
      <c r="G1244" s="1" t="s">
        <v>33</v>
      </c>
      <c r="H1244" s="10">
        <f t="shared" si="39"/>
        <v>5640</v>
      </c>
      <c r="I1244" s="7">
        <v>4474.6274918304307</v>
      </c>
      <c r="J1244" s="7">
        <f t="shared" si="40"/>
        <v>1165.3725081695693</v>
      </c>
      <c r="K1244" s="1">
        <f>IF(B1244="North",28.6,
IF(B1244="South",13,
IF(B1244="East",22.6,
IF(B1244="West",19,
23.5))))</f>
        <v>28.6</v>
      </c>
      <c r="L1244" s="1">
        <f>IF(B1244="North",77.2,
IF(B1244="South",80.2,
IF(B1244="East",88.4,
IF(B1244="West",72.8,
78.9))))</f>
        <v>77.2</v>
      </c>
    </row>
    <row r="1245" spans="1:12" x14ac:dyDescent="0.25">
      <c r="A1245" s="5">
        <v>45422</v>
      </c>
      <c r="B1245" s="1" t="s">
        <v>10</v>
      </c>
      <c r="C1245" s="1" t="s">
        <v>22</v>
      </c>
      <c r="D1245" s="1" t="s">
        <v>26</v>
      </c>
      <c r="E1245" s="10">
        <v>-1</v>
      </c>
      <c r="F1245" s="10">
        <v>1093</v>
      </c>
      <c r="G1245" s="1" t="s">
        <v>35</v>
      </c>
      <c r="H1245" s="10">
        <f t="shared" si="39"/>
        <v>-1093</v>
      </c>
      <c r="I1245" s="7">
        <v>-700.8585423930989</v>
      </c>
      <c r="J1245" s="7">
        <f t="shared" si="40"/>
        <v>-392.1414576069011</v>
      </c>
      <c r="K1245" s="1">
        <f>IF(B1245="North",28.6,
IF(B1245="South",13,
IF(B1245="East",22.6,
IF(B1245="West",19,
23.5))))</f>
        <v>28.6</v>
      </c>
      <c r="L1245" s="1">
        <f>IF(B1245="North",77.2,
IF(B1245="South",80.2,
IF(B1245="East",88.4,
IF(B1245="West",72.8,
78.9))))</f>
        <v>77.2</v>
      </c>
    </row>
    <row r="1246" spans="1:12" x14ac:dyDescent="0.25">
      <c r="A1246" s="5">
        <v>45579</v>
      </c>
      <c r="B1246" s="1" t="s">
        <v>13</v>
      </c>
      <c r="C1246" s="1" t="s">
        <v>17</v>
      </c>
      <c r="D1246" s="1" t="s">
        <v>31</v>
      </c>
      <c r="E1246" s="10">
        <v>3</v>
      </c>
      <c r="F1246" s="10">
        <v>268</v>
      </c>
      <c r="G1246" s="1" t="s">
        <v>33</v>
      </c>
      <c r="H1246" s="10">
        <f t="shared" si="39"/>
        <v>804</v>
      </c>
      <c r="I1246" s="7">
        <v>498.19410929744879</v>
      </c>
      <c r="J1246" s="7">
        <f t="shared" si="40"/>
        <v>305.80589070255121</v>
      </c>
      <c r="K1246" s="1">
        <f>IF(B1246="North",28.6,
IF(B1246="South",13,
IF(B1246="East",22.6,
IF(B1246="West",19,
23.5))))</f>
        <v>13</v>
      </c>
      <c r="L1246" s="1">
        <f>IF(B1246="North",77.2,
IF(B1246="South",80.2,
IF(B1246="East",88.4,
IF(B1246="West",72.8,
78.9))))</f>
        <v>80.2</v>
      </c>
    </row>
    <row r="1247" spans="1:12" x14ac:dyDescent="0.25">
      <c r="A1247" s="5">
        <v>45557</v>
      </c>
      <c r="B1247" s="1" t="s">
        <v>10</v>
      </c>
      <c r="C1247" s="1" t="s">
        <v>20</v>
      </c>
      <c r="D1247" s="1" t="s">
        <v>29</v>
      </c>
      <c r="E1247" s="10">
        <v>4</v>
      </c>
      <c r="F1247" s="10">
        <v>1185</v>
      </c>
      <c r="G1247" s="1" t="s">
        <v>33</v>
      </c>
      <c r="H1247" s="10">
        <f t="shared" si="39"/>
        <v>4740</v>
      </c>
      <c r="I1247" s="7">
        <v>4083.3327439097502</v>
      </c>
      <c r="J1247" s="7">
        <f t="shared" si="40"/>
        <v>656.66725609024979</v>
      </c>
      <c r="K1247" s="1">
        <f>IF(B1247="North",28.6,
IF(B1247="South",13,
IF(B1247="East",22.6,
IF(B1247="West",19,
23.5))))</f>
        <v>28.6</v>
      </c>
      <c r="L1247" s="1">
        <f>IF(B1247="North",77.2,
IF(B1247="South",80.2,
IF(B1247="East",88.4,
IF(B1247="West",72.8,
78.9))))</f>
        <v>77.2</v>
      </c>
    </row>
    <row r="1248" spans="1:12" x14ac:dyDescent="0.25">
      <c r="A1248" s="5">
        <v>45657</v>
      </c>
      <c r="B1248" s="1" t="s">
        <v>13</v>
      </c>
      <c r="C1248" s="1" t="s">
        <v>21</v>
      </c>
      <c r="D1248" s="1" t="s">
        <v>32</v>
      </c>
      <c r="E1248" s="10">
        <v>5</v>
      </c>
      <c r="F1248" s="10">
        <v>1472</v>
      </c>
      <c r="G1248" s="1" t="s">
        <v>35</v>
      </c>
      <c r="H1248" s="10">
        <f t="shared" si="39"/>
        <v>7360</v>
      </c>
      <c r="I1248" s="7">
        <v>6029.4626645117551</v>
      </c>
      <c r="J1248" s="7">
        <f t="shared" si="40"/>
        <v>1330.5373354882449</v>
      </c>
      <c r="K1248" s="1">
        <f>IF(B1248="North",28.6,
IF(B1248="South",13,
IF(B1248="East",22.6,
IF(B1248="West",19,
23.5))))</f>
        <v>13</v>
      </c>
      <c r="L1248" s="1">
        <f>IF(B1248="North",77.2,
IF(B1248="South",80.2,
IF(B1248="East",88.4,
IF(B1248="West",72.8,
78.9))))</f>
        <v>80.2</v>
      </c>
    </row>
    <row r="1249" spans="1:12" x14ac:dyDescent="0.25">
      <c r="A1249" s="5">
        <v>45453</v>
      </c>
      <c r="B1249" s="1" t="s">
        <v>10</v>
      </c>
      <c r="C1249" s="1" t="s">
        <v>23</v>
      </c>
      <c r="D1249" s="1" t="s">
        <v>28</v>
      </c>
      <c r="E1249" s="10">
        <v>8</v>
      </c>
      <c r="F1249" s="10">
        <v>1565</v>
      </c>
      <c r="G1249" s="1" t="s">
        <v>34</v>
      </c>
      <c r="H1249" s="10">
        <f t="shared" si="39"/>
        <v>12520</v>
      </c>
      <c r="I1249" s="7">
        <v>8704.5273242052008</v>
      </c>
      <c r="J1249" s="7">
        <f t="shared" si="40"/>
        <v>3815.4726757947992</v>
      </c>
      <c r="K1249" s="1">
        <f>IF(B1249="North",28.6,
IF(B1249="South",13,
IF(B1249="East",22.6,
IF(B1249="West",19,
23.5))))</f>
        <v>28.6</v>
      </c>
      <c r="L1249" s="1">
        <f>IF(B1249="North",77.2,
IF(B1249="South",80.2,
IF(B1249="East",88.4,
IF(B1249="West",72.8,
78.9))))</f>
        <v>77.2</v>
      </c>
    </row>
    <row r="1250" spans="1:12" x14ac:dyDescent="0.25">
      <c r="A1250" s="5">
        <v>45378</v>
      </c>
      <c r="B1250" s="1" t="s">
        <v>12</v>
      </c>
      <c r="C1250" s="1" t="s">
        <v>23</v>
      </c>
      <c r="D1250" s="1" t="s">
        <v>26</v>
      </c>
      <c r="E1250" s="10">
        <v>16</v>
      </c>
      <c r="F1250" s="10">
        <v>113</v>
      </c>
      <c r="G1250" s="1" t="s">
        <v>34</v>
      </c>
      <c r="H1250" s="10">
        <f t="shared" si="39"/>
        <v>1808</v>
      </c>
      <c r="I1250" s="7">
        <v>1358.483108771457</v>
      </c>
      <c r="J1250" s="7">
        <f t="shared" si="40"/>
        <v>449.51689122854305</v>
      </c>
      <c r="K1250" s="1">
        <f>IF(B1250="North",28.6,
IF(B1250="South",13,
IF(B1250="East",22.6,
IF(B1250="West",19,
23.5))))</f>
        <v>22.6</v>
      </c>
      <c r="L1250" s="1">
        <f>IF(B1250="North",77.2,
IF(B1250="South",80.2,
IF(B1250="East",88.4,
IF(B1250="West",72.8,
78.9))))</f>
        <v>88.4</v>
      </c>
    </row>
    <row r="1251" spans="1:12" x14ac:dyDescent="0.25">
      <c r="A1251" s="5">
        <v>45346</v>
      </c>
      <c r="B1251" s="1" t="s">
        <v>12</v>
      </c>
      <c r="C1251" s="1" t="s">
        <v>23</v>
      </c>
      <c r="D1251" s="1" t="s">
        <v>32</v>
      </c>
      <c r="E1251" s="10">
        <v>3</v>
      </c>
      <c r="F1251" s="10">
        <v>263</v>
      </c>
      <c r="G1251" s="1" t="s">
        <v>34</v>
      </c>
      <c r="H1251" s="10">
        <f t="shared" si="39"/>
        <v>789</v>
      </c>
      <c r="I1251" s="7">
        <v>505.53064845975013</v>
      </c>
      <c r="J1251" s="7">
        <f t="shared" si="40"/>
        <v>283.46935154024987</v>
      </c>
      <c r="K1251" s="1">
        <f>IF(B1251="North",28.6,
IF(B1251="South",13,
IF(B1251="East",22.6,
IF(B1251="West",19,
23.5))))</f>
        <v>22.6</v>
      </c>
      <c r="L1251" s="1">
        <f>IF(B1251="North",77.2,
IF(B1251="South",80.2,
IF(B1251="East",88.4,
IF(B1251="West",72.8,
78.9))))</f>
        <v>88.4</v>
      </c>
    </row>
    <row r="1252" spans="1:12" x14ac:dyDescent="0.25">
      <c r="A1252" s="5">
        <v>45579</v>
      </c>
      <c r="B1252" s="1" t="s">
        <v>13</v>
      </c>
      <c r="C1252" s="1" t="s">
        <v>21</v>
      </c>
      <c r="D1252" s="1" t="s">
        <v>27</v>
      </c>
      <c r="E1252" s="10">
        <v>12</v>
      </c>
      <c r="F1252" s="10">
        <v>1543</v>
      </c>
      <c r="G1252" s="1" t="s">
        <v>35</v>
      </c>
      <c r="H1252" s="10">
        <f t="shared" si="39"/>
        <v>18516</v>
      </c>
      <c r="I1252" s="7">
        <v>15037.734001004879</v>
      </c>
      <c r="J1252" s="7">
        <f t="shared" si="40"/>
        <v>3478.2659989951208</v>
      </c>
      <c r="K1252" s="1">
        <f>IF(B1252="North",28.6,
IF(B1252="South",13,
IF(B1252="East",22.6,
IF(B1252="West",19,
23.5))))</f>
        <v>13</v>
      </c>
      <c r="L1252" s="1">
        <f>IF(B1252="North",77.2,
IF(B1252="South",80.2,
IF(B1252="East",88.4,
IF(B1252="West",72.8,
78.9))))</f>
        <v>80.2</v>
      </c>
    </row>
    <row r="1253" spans="1:12" x14ac:dyDescent="0.25">
      <c r="A1253" s="5">
        <v>45469</v>
      </c>
      <c r="B1253" s="1" t="s">
        <v>10</v>
      </c>
      <c r="C1253" s="1" t="s">
        <v>23</v>
      </c>
      <c r="D1253" s="1" t="s">
        <v>31</v>
      </c>
      <c r="E1253" s="10">
        <v>8</v>
      </c>
      <c r="F1253" s="10">
        <v>856</v>
      </c>
      <c r="G1253" s="1" t="s">
        <v>34</v>
      </c>
      <c r="H1253" s="10">
        <f t="shared" si="39"/>
        <v>6848</v>
      </c>
      <c r="I1253" s="7">
        <v>4253.2871683844342</v>
      </c>
      <c r="J1253" s="7">
        <f t="shared" si="40"/>
        <v>2594.7128316155658</v>
      </c>
      <c r="K1253" s="1">
        <f>IF(B1253="North",28.6,
IF(B1253="South",13,
IF(B1253="East",22.6,
IF(B1253="West",19,
23.5))))</f>
        <v>28.6</v>
      </c>
      <c r="L1253" s="1">
        <f>IF(B1253="North",77.2,
IF(B1253="South",80.2,
IF(B1253="East",88.4,
IF(B1253="West",72.8,
78.9))))</f>
        <v>77.2</v>
      </c>
    </row>
    <row r="1254" spans="1:12" x14ac:dyDescent="0.25">
      <c r="A1254" s="5">
        <v>45640</v>
      </c>
      <c r="B1254" s="1" t="s">
        <v>11</v>
      </c>
      <c r="C1254" s="1" t="s">
        <v>24</v>
      </c>
      <c r="D1254" s="1" t="s">
        <v>26</v>
      </c>
      <c r="E1254" s="10">
        <v>13</v>
      </c>
      <c r="F1254" s="10">
        <v>1970</v>
      </c>
      <c r="G1254" s="1" t="s">
        <v>35</v>
      </c>
      <c r="H1254" s="10">
        <f t="shared" si="39"/>
        <v>25610</v>
      </c>
      <c r="I1254" s="7">
        <v>21182.284976479259</v>
      </c>
      <c r="J1254" s="7">
        <f t="shared" si="40"/>
        <v>4427.7150235207409</v>
      </c>
      <c r="K1254" s="1">
        <f>IF(B1254="North",28.6,
IF(B1254="South",13,
IF(B1254="East",22.6,
IF(B1254="West",19,
23.5))))</f>
        <v>19</v>
      </c>
      <c r="L1254" s="1">
        <f>IF(B1254="North",77.2,
IF(B1254="South",80.2,
IF(B1254="East",88.4,
IF(B1254="West",72.8,
78.9))))</f>
        <v>72.8</v>
      </c>
    </row>
    <row r="1255" spans="1:12" x14ac:dyDescent="0.25">
      <c r="A1255" s="5">
        <v>45299</v>
      </c>
      <c r="B1255" s="1" t="s">
        <v>10</v>
      </c>
      <c r="C1255" s="1" t="s">
        <v>18</v>
      </c>
      <c r="D1255" s="1" t="s">
        <v>31</v>
      </c>
      <c r="E1255" s="10">
        <v>4</v>
      </c>
      <c r="F1255" s="10">
        <v>1643</v>
      </c>
      <c r="G1255" s="1" t="s">
        <v>34</v>
      </c>
      <c r="H1255" s="10">
        <f t="shared" si="39"/>
        <v>6572</v>
      </c>
      <c r="I1255" s="7">
        <v>5021.3428636483059</v>
      </c>
      <c r="J1255" s="7">
        <f t="shared" si="40"/>
        <v>1550.6571363516941</v>
      </c>
      <c r="K1255" s="1">
        <f>IF(B1255="North",28.6,
IF(B1255="South",13,
IF(B1255="East",22.6,
IF(B1255="West",19,
23.5))))</f>
        <v>28.6</v>
      </c>
      <c r="L1255" s="1">
        <f>IF(B1255="North",77.2,
IF(B1255="South",80.2,
IF(B1255="East",88.4,
IF(B1255="West",72.8,
78.9))))</f>
        <v>77.2</v>
      </c>
    </row>
    <row r="1256" spans="1:12" x14ac:dyDescent="0.25">
      <c r="A1256" s="5">
        <v>45612</v>
      </c>
      <c r="B1256" s="1" t="s">
        <v>12</v>
      </c>
      <c r="C1256" s="1" t="s">
        <v>21</v>
      </c>
      <c r="D1256" s="1" t="s">
        <v>27</v>
      </c>
      <c r="E1256" s="10">
        <v>14</v>
      </c>
      <c r="F1256" s="10">
        <v>1789</v>
      </c>
      <c r="G1256" s="1" t="s">
        <v>35</v>
      </c>
      <c r="H1256" s="10">
        <f t="shared" si="39"/>
        <v>25046</v>
      </c>
      <c r="I1256" s="7">
        <v>17122.82711296593</v>
      </c>
      <c r="J1256" s="7">
        <f t="shared" si="40"/>
        <v>7923.1728870340703</v>
      </c>
      <c r="K1256" s="1">
        <f>IF(B1256="North",28.6,
IF(B1256="South",13,
IF(B1256="East",22.6,
IF(B1256="West",19,
23.5))))</f>
        <v>22.6</v>
      </c>
      <c r="L1256" s="1">
        <f>IF(B1256="North",77.2,
IF(B1256="South",80.2,
IF(B1256="East",88.4,
IF(B1256="West",72.8,
78.9))))</f>
        <v>88.4</v>
      </c>
    </row>
    <row r="1257" spans="1:12" x14ac:dyDescent="0.25">
      <c r="A1257" s="5">
        <v>45604</v>
      </c>
      <c r="B1257" s="1" t="s">
        <v>36</v>
      </c>
      <c r="C1257" s="1" t="s">
        <v>17</v>
      </c>
      <c r="D1257" s="1" t="s">
        <v>26</v>
      </c>
      <c r="E1257" s="10">
        <v>14</v>
      </c>
      <c r="F1257" s="10">
        <v>1671</v>
      </c>
      <c r="G1257" s="1" t="s">
        <v>33</v>
      </c>
      <c r="H1257" s="10">
        <f t="shared" si="39"/>
        <v>23394</v>
      </c>
      <c r="I1257" s="7">
        <v>20090.119331674119</v>
      </c>
      <c r="J1257" s="7">
        <f t="shared" si="40"/>
        <v>3303.8806683258808</v>
      </c>
      <c r="K1257" s="1">
        <f>IF(B1257="North",28.6,
IF(B1257="South",13,
IF(B1257="East",22.6,
IF(B1257="West",19,
23.5))))</f>
        <v>23.5</v>
      </c>
      <c r="L1257" s="1">
        <f>IF(B1257="North",77.2,
IF(B1257="South",80.2,
IF(B1257="East",88.4,
IF(B1257="West",72.8,
78.9))))</f>
        <v>78.900000000000006</v>
      </c>
    </row>
    <row r="1258" spans="1:12" x14ac:dyDescent="0.25">
      <c r="A1258" s="5">
        <v>45538</v>
      </c>
      <c r="B1258" s="1" t="s">
        <v>10</v>
      </c>
      <c r="C1258" s="1" t="s">
        <v>18</v>
      </c>
      <c r="D1258" s="1" t="s">
        <v>27</v>
      </c>
      <c r="E1258" s="10">
        <v>13</v>
      </c>
      <c r="F1258" s="10">
        <v>1683</v>
      </c>
      <c r="G1258" s="1" t="s">
        <v>34</v>
      </c>
      <c r="H1258" s="10">
        <f t="shared" si="39"/>
        <v>21879</v>
      </c>
      <c r="I1258" s="7">
        <v>19599.679935343142</v>
      </c>
      <c r="J1258" s="7">
        <f t="shared" si="40"/>
        <v>2279.3200646568584</v>
      </c>
      <c r="K1258" s="1">
        <f>IF(B1258="North",28.6,
IF(B1258="South",13,
IF(B1258="East",22.6,
IF(B1258="West",19,
23.5))))</f>
        <v>28.6</v>
      </c>
      <c r="L1258" s="1">
        <f>IF(B1258="North",77.2,
IF(B1258="South",80.2,
IF(B1258="East",88.4,
IF(B1258="West",72.8,
78.9))))</f>
        <v>77.2</v>
      </c>
    </row>
    <row r="1259" spans="1:12" x14ac:dyDescent="0.25">
      <c r="A1259" s="5">
        <v>45614</v>
      </c>
      <c r="B1259" s="1" t="s">
        <v>10</v>
      </c>
      <c r="C1259" s="1" t="s">
        <v>20</v>
      </c>
      <c r="D1259" s="1" t="s">
        <v>30</v>
      </c>
      <c r="E1259" s="10">
        <v>6</v>
      </c>
      <c r="F1259" s="10">
        <v>1720</v>
      </c>
      <c r="G1259" s="1" t="s">
        <v>33</v>
      </c>
      <c r="H1259" s="10">
        <f t="shared" si="39"/>
        <v>10320</v>
      </c>
      <c r="I1259" s="7">
        <v>6979.4648173078876</v>
      </c>
      <c r="J1259" s="7">
        <f t="shared" si="40"/>
        <v>3340.5351826921124</v>
      </c>
      <c r="K1259" s="1">
        <f>IF(B1259="North",28.6,
IF(B1259="South",13,
IF(B1259="East",22.6,
IF(B1259="West",19,
23.5))))</f>
        <v>28.6</v>
      </c>
      <c r="L1259" s="1">
        <f>IF(B1259="North",77.2,
IF(B1259="South",80.2,
IF(B1259="East",88.4,
IF(B1259="West",72.8,
78.9))))</f>
        <v>77.2</v>
      </c>
    </row>
    <row r="1260" spans="1:12" x14ac:dyDescent="0.25">
      <c r="A1260" s="5">
        <v>45546</v>
      </c>
      <c r="B1260" s="1" t="s">
        <v>11</v>
      </c>
      <c r="C1260" s="1" t="s">
        <v>17</v>
      </c>
      <c r="D1260" s="1" t="s">
        <v>27</v>
      </c>
      <c r="E1260" s="10">
        <v>10</v>
      </c>
      <c r="F1260" s="10">
        <v>1151</v>
      </c>
      <c r="G1260" s="1" t="s">
        <v>33</v>
      </c>
      <c r="H1260" s="10">
        <f t="shared" si="39"/>
        <v>11510</v>
      </c>
      <c r="I1260" s="7">
        <f>H1260*0.7</f>
        <v>8056.9999999999991</v>
      </c>
      <c r="J1260" s="7">
        <f t="shared" si="40"/>
        <v>3453.0000000000009</v>
      </c>
      <c r="K1260" s="1">
        <f>IF(B1260="North",28.6,
IF(B1260="South",13,
IF(B1260="East",22.6,
IF(B1260="West",19,
23.5))))</f>
        <v>19</v>
      </c>
      <c r="L1260" s="1">
        <f>IF(B1260="North",77.2,
IF(B1260="South",80.2,
IF(B1260="East",88.4,
IF(B1260="West",72.8,
78.9))))</f>
        <v>72.8</v>
      </c>
    </row>
    <row r="1261" spans="1:12" x14ac:dyDescent="0.25">
      <c r="A1261" s="5">
        <v>45619</v>
      </c>
      <c r="B1261" s="1" t="s">
        <v>11</v>
      </c>
      <c r="C1261" s="1" t="s">
        <v>18</v>
      </c>
      <c r="D1261" s="1" t="s">
        <v>29</v>
      </c>
      <c r="E1261" s="10">
        <v>4</v>
      </c>
      <c r="F1261" s="10">
        <v>1831</v>
      </c>
      <c r="G1261" s="1" t="s">
        <v>34</v>
      </c>
      <c r="H1261" s="10">
        <f t="shared" si="39"/>
        <v>7324</v>
      </c>
      <c r="I1261" s="7">
        <v>6042.665430342352</v>
      </c>
      <c r="J1261" s="7">
        <f t="shared" si="40"/>
        <v>1281.334569657648</v>
      </c>
      <c r="K1261" s="1">
        <f>IF(B1261="North",28.6,
IF(B1261="South",13,
IF(B1261="East",22.6,
IF(B1261="West",19,
23.5))))</f>
        <v>19</v>
      </c>
      <c r="L1261" s="1">
        <f>IF(B1261="North",77.2,
IF(B1261="South",80.2,
IF(B1261="East",88.4,
IF(B1261="West",72.8,
78.9))))</f>
        <v>72.8</v>
      </c>
    </row>
    <row r="1262" spans="1:12" x14ac:dyDescent="0.25">
      <c r="A1262" s="5">
        <v>45345</v>
      </c>
      <c r="B1262" s="1" t="s">
        <v>10</v>
      </c>
      <c r="C1262" s="1" t="s">
        <v>19</v>
      </c>
      <c r="D1262" s="1" t="s">
        <v>29</v>
      </c>
      <c r="E1262" s="10">
        <v>8</v>
      </c>
      <c r="F1262" s="10">
        <v>545</v>
      </c>
      <c r="G1262" s="1" t="s">
        <v>35</v>
      </c>
      <c r="H1262" s="10">
        <f t="shared" si="39"/>
        <v>4360</v>
      </c>
      <c r="I1262" s="7">
        <v>3593.3246784062148</v>
      </c>
      <c r="J1262" s="7">
        <f t="shared" si="40"/>
        <v>766.67532159378516</v>
      </c>
      <c r="K1262" s="1">
        <f>IF(B1262="North",28.6,
IF(B1262="South",13,
IF(B1262="East",22.6,
IF(B1262="West",19,
23.5))))</f>
        <v>28.6</v>
      </c>
      <c r="L1262" s="1">
        <f>IF(B1262="North",77.2,
IF(B1262="South",80.2,
IF(B1262="East",88.4,
IF(B1262="West",72.8,
78.9))))</f>
        <v>77.2</v>
      </c>
    </row>
    <row r="1263" spans="1:12" x14ac:dyDescent="0.25">
      <c r="A1263" s="5">
        <v>45540</v>
      </c>
      <c r="B1263" s="1" t="s">
        <v>10</v>
      </c>
      <c r="C1263" s="1" t="s">
        <v>23</v>
      </c>
      <c r="D1263" s="1" t="s">
        <v>31</v>
      </c>
      <c r="E1263" s="10">
        <v>17</v>
      </c>
      <c r="F1263" s="10">
        <v>1331</v>
      </c>
      <c r="G1263" s="1" t="s">
        <v>34</v>
      </c>
      <c r="H1263" s="10">
        <f t="shared" si="39"/>
        <v>22627</v>
      </c>
      <c r="I1263" s="7">
        <v>20074.011054314731</v>
      </c>
      <c r="J1263" s="7">
        <f t="shared" si="40"/>
        <v>2552.9889456852688</v>
      </c>
      <c r="K1263" s="1">
        <f>IF(B1263="North",28.6,
IF(B1263="South",13,
IF(B1263="East",22.6,
IF(B1263="West",19,
23.5))))</f>
        <v>28.6</v>
      </c>
      <c r="L1263" s="1">
        <f>IF(B1263="North",77.2,
IF(B1263="South",80.2,
IF(B1263="East",88.4,
IF(B1263="West",72.8,
78.9))))</f>
        <v>77.2</v>
      </c>
    </row>
    <row r="1264" spans="1:12" x14ac:dyDescent="0.25">
      <c r="A1264" s="5">
        <v>45530</v>
      </c>
      <c r="B1264" s="1" t="s">
        <v>10</v>
      </c>
      <c r="C1264" s="1" t="s">
        <v>19</v>
      </c>
      <c r="D1264" s="1" t="s">
        <v>28</v>
      </c>
      <c r="E1264" s="10">
        <v>3</v>
      </c>
      <c r="F1264" s="10">
        <v>1073.5</v>
      </c>
      <c r="G1264" s="1" t="s">
        <v>35</v>
      </c>
      <c r="H1264" s="10">
        <f t="shared" si="39"/>
        <v>3220.5</v>
      </c>
      <c r="I1264" s="7">
        <f>H1264*0.7</f>
        <v>2254.35</v>
      </c>
      <c r="J1264" s="7">
        <f t="shared" si="40"/>
        <v>966.15000000000009</v>
      </c>
      <c r="K1264" s="1">
        <f>IF(B1264="North",28.6,
IF(B1264="South",13,
IF(B1264="East",22.6,
IF(B1264="West",19,
23.5))))</f>
        <v>28.6</v>
      </c>
      <c r="L1264" s="1">
        <f>IF(B1264="North",77.2,
IF(B1264="South",80.2,
IF(B1264="East",88.4,
IF(B1264="West",72.8,
78.9))))</f>
        <v>77.2</v>
      </c>
    </row>
    <row r="1265" spans="1:12" x14ac:dyDescent="0.25">
      <c r="A1265" s="5">
        <v>45520</v>
      </c>
      <c r="B1265" s="1" t="s">
        <v>10</v>
      </c>
      <c r="C1265" s="1" t="s">
        <v>22</v>
      </c>
      <c r="D1265" s="1" t="s">
        <v>27</v>
      </c>
      <c r="E1265" s="10">
        <v>17</v>
      </c>
      <c r="F1265" s="10">
        <v>815</v>
      </c>
      <c r="G1265" s="1" t="s">
        <v>35</v>
      </c>
      <c r="H1265" s="10">
        <f t="shared" si="39"/>
        <v>13855</v>
      </c>
      <c r="I1265" s="7">
        <v>11115.17946057374</v>
      </c>
      <c r="J1265" s="7">
        <f t="shared" si="40"/>
        <v>2739.8205394262604</v>
      </c>
      <c r="K1265" s="1">
        <f>IF(B1265="North",28.6,
IF(B1265="South",13,
IF(B1265="East",22.6,
IF(B1265="West",19,
23.5))))</f>
        <v>28.6</v>
      </c>
      <c r="L1265" s="1">
        <f>IF(B1265="North",77.2,
IF(B1265="South",80.2,
IF(B1265="East",88.4,
IF(B1265="West",72.8,
78.9))))</f>
        <v>77.2</v>
      </c>
    </row>
    <row r="1266" spans="1:12" x14ac:dyDescent="0.25">
      <c r="A1266" s="5">
        <v>45358</v>
      </c>
      <c r="B1266" s="1" t="s">
        <v>13</v>
      </c>
      <c r="C1266" s="1" t="s">
        <v>22</v>
      </c>
      <c r="D1266" s="1" t="s">
        <v>32</v>
      </c>
      <c r="E1266" s="10">
        <v>9</v>
      </c>
      <c r="F1266" s="10">
        <v>1075</v>
      </c>
      <c r="G1266" s="1" t="s">
        <v>35</v>
      </c>
      <c r="H1266" s="10">
        <f t="shared" si="39"/>
        <v>9675</v>
      </c>
      <c r="I1266" s="7">
        <v>8196.3040479238971</v>
      </c>
      <c r="J1266" s="7">
        <f t="shared" si="40"/>
        <v>1478.6959520761029</v>
      </c>
      <c r="K1266" s="1">
        <f>IF(B1266="North",28.6,
IF(B1266="South",13,
IF(B1266="East",22.6,
IF(B1266="West",19,
23.5))))</f>
        <v>13</v>
      </c>
      <c r="L1266" s="1">
        <f>IF(B1266="North",77.2,
IF(B1266="South",80.2,
IF(B1266="East",88.4,
IF(B1266="West",72.8,
78.9))))</f>
        <v>80.2</v>
      </c>
    </row>
    <row r="1267" spans="1:12" x14ac:dyDescent="0.25">
      <c r="A1267" s="5">
        <v>45342</v>
      </c>
      <c r="B1267" s="1" t="s">
        <v>10</v>
      </c>
      <c r="C1267" s="1" t="s">
        <v>18</v>
      </c>
      <c r="D1267" s="1" t="s">
        <v>29</v>
      </c>
      <c r="E1267" s="10">
        <v>2</v>
      </c>
      <c r="F1267" s="10">
        <v>918</v>
      </c>
      <c r="G1267" s="1" t="s">
        <v>34</v>
      </c>
      <c r="H1267" s="10">
        <f t="shared" si="39"/>
        <v>1836</v>
      </c>
      <c r="I1267" s="7">
        <v>1365.728673929699</v>
      </c>
      <c r="J1267" s="7">
        <f t="shared" si="40"/>
        <v>470.27132607030103</v>
      </c>
      <c r="K1267" s="1">
        <f>IF(B1267="North",28.6,
IF(B1267="South",13,
IF(B1267="East",22.6,
IF(B1267="West",19,
23.5))))</f>
        <v>28.6</v>
      </c>
      <c r="L1267" s="1">
        <f>IF(B1267="North",77.2,
IF(B1267="South",80.2,
IF(B1267="East",88.4,
IF(B1267="West",72.8,
78.9))))</f>
        <v>77.2</v>
      </c>
    </row>
    <row r="1268" spans="1:12" x14ac:dyDescent="0.25">
      <c r="A1268" s="5">
        <v>45388</v>
      </c>
      <c r="B1268" s="1" t="s">
        <v>11</v>
      </c>
      <c r="C1268" s="1" t="s">
        <v>19</v>
      </c>
      <c r="D1268" s="1" t="s">
        <v>25</v>
      </c>
      <c r="E1268" s="10">
        <v>13</v>
      </c>
      <c r="F1268" s="10">
        <v>203</v>
      </c>
      <c r="G1268" s="1" t="s">
        <v>35</v>
      </c>
      <c r="H1268" s="10">
        <f t="shared" si="39"/>
        <v>2639</v>
      </c>
      <c r="I1268" s="7">
        <v>1964.5490832662649</v>
      </c>
      <c r="J1268" s="7">
        <f t="shared" si="40"/>
        <v>674.45091673373508</v>
      </c>
      <c r="K1268" s="1">
        <f>IF(B1268="North",28.6,
IF(B1268="South",13,
IF(B1268="East",22.6,
IF(B1268="West",19,
23.5))))</f>
        <v>19</v>
      </c>
      <c r="L1268" s="1">
        <f>IF(B1268="North",77.2,
IF(B1268="South",80.2,
IF(B1268="East",88.4,
IF(B1268="West",72.8,
78.9))))</f>
        <v>72.8</v>
      </c>
    </row>
    <row r="1269" spans="1:12" x14ac:dyDescent="0.25">
      <c r="A1269" s="5">
        <v>45383</v>
      </c>
      <c r="B1269" s="1" t="s">
        <v>12</v>
      </c>
      <c r="C1269" s="1" t="s">
        <v>21</v>
      </c>
      <c r="D1269" s="1" t="s">
        <v>28</v>
      </c>
      <c r="E1269" s="10">
        <v>2</v>
      </c>
      <c r="F1269" s="10">
        <v>1073.5</v>
      </c>
      <c r="G1269" s="1" t="s">
        <v>35</v>
      </c>
      <c r="H1269" s="10">
        <f t="shared" si="39"/>
        <v>2147</v>
      </c>
      <c r="I1269" s="7">
        <f>H1269*0.7</f>
        <v>1502.8999999999999</v>
      </c>
      <c r="J1269" s="7">
        <f t="shared" si="40"/>
        <v>644.10000000000014</v>
      </c>
      <c r="K1269" s="1">
        <f>IF(B1269="North",28.6,
IF(B1269="South",13,
IF(B1269="East",22.6,
IF(B1269="West",19,
23.5))))</f>
        <v>22.6</v>
      </c>
      <c r="L1269" s="1">
        <f>IF(B1269="North",77.2,
IF(B1269="South",80.2,
IF(B1269="East",88.4,
IF(B1269="West",72.8,
78.9))))</f>
        <v>88.4</v>
      </c>
    </row>
    <row r="1270" spans="1:12" x14ac:dyDescent="0.25">
      <c r="A1270" s="5">
        <v>45555</v>
      </c>
      <c r="B1270" s="1" t="s">
        <v>13</v>
      </c>
      <c r="C1270" s="1" t="s">
        <v>17</v>
      </c>
      <c r="D1270" s="1" t="s">
        <v>30</v>
      </c>
      <c r="E1270" s="10">
        <v>11</v>
      </c>
      <c r="F1270" s="10">
        <v>525</v>
      </c>
      <c r="G1270" s="1" t="s">
        <v>33</v>
      </c>
      <c r="H1270" s="10">
        <f t="shared" si="39"/>
        <v>5775</v>
      </c>
      <c r="I1270" s="7">
        <v>4817.7805474730094</v>
      </c>
      <c r="J1270" s="7">
        <f t="shared" si="40"/>
        <v>957.21945252699061</v>
      </c>
      <c r="K1270" s="1">
        <f>IF(B1270="North",28.6,
IF(B1270="South",13,
IF(B1270="East",22.6,
IF(B1270="West",19,
23.5))))</f>
        <v>13</v>
      </c>
      <c r="L1270" s="1">
        <f>IF(B1270="North",77.2,
IF(B1270="South",80.2,
IF(B1270="East",88.4,
IF(B1270="West",72.8,
78.9))))</f>
        <v>80.2</v>
      </c>
    </row>
    <row r="1271" spans="1:12" x14ac:dyDescent="0.25">
      <c r="A1271" s="5">
        <v>45582</v>
      </c>
      <c r="B1271" s="1" t="s">
        <v>10</v>
      </c>
      <c r="C1271" s="1" t="s">
        <v>22</v>
      </c>
      <c r="D1271" s="1" t="s">
        <v>26</v>
      </c>
      <c r="E1271" s="10">
        <v>15</v>
      </c>
      <c r="F1271" s="10">
        <v>1224</v>
      </c>
      <c r="G1271" s="1" t="s">
        <v>35</v>
      </c>
      <c r="H1271" s="10">
        <f t="shared" si="39"/>
        <v>18360</v>
      </c>
      <c r="I1271" s="7">
        <v>14795.56635450805</v>
      </c>
      <c r="J1271" s="7">
        <f t="shared" si="40"/>
        <v>3564.4336454919503</v>
      </c>
      <c r="K1271" s="1">
        <f>IF(B1271="North",28.6,
IF(B1271="South",13,
IF(B1271="East",22.6,
IF(B1271="West",19,
23.5))))</f>
        <v>28.6</v>
      </c>
      <c r="L1271" s="1">
        <f>IF(B1271="North",77.2,
IF(B1271="South",80.2,
IF(B1271="East",88.4,
IF(B1271="West",72.8,
78.9))))</f>
        <v>77.2</v>
      </c>
    </row>
    <row r="1272" spans="1:12" x14ac:dyDescent="0.25">
      <c r="A1272" s="5">
        <v>45387</v>
      </c>
      <c r="B1272" s="1" t="s">
        <v>12</v>
      </c>
      <c r="C1272" s="1" t="s">
        <v>22</v>
      </c>
      <c r="D1272" s="1" t="s">
        <v>26</v>
      </c>
      <c r="E1272" s="10">
        <v>11</v>
      </c>
      <c r="F1272" s="10">
        <v>1664</v>
      </c>
      <c r="G1272" s="1" t="s">
        <v>35</v>
      </c>
      <c r="H1272" s="10">
        <f t="shared" si="39"/>
        <v>18304</v>
      </c>
      <c r="I1272" s="7">
        <v>13459.699416140171</v>
      </c>
      <c r="J1272" s="7">
        <f t="shared" si="40"/>
        <v>4844.3005838598292</v>
      </c>
      <c r="K1272" s="1">
        <f>IF(B1272="North",28.6,
IF(B1272="South",13,
IF(B1272="East",22.6,
IF(B1272="West",19,
23.5))))</f>
        <v>22.6</v>
      </c>
      <c r="L1272" s="1">
        <f>IF(B1272="North",77.2,
IF(B1272="South",80.2,
IF(B1272="East",88.4,
IF(B1272="West",72.8,
78.9))))</f>
        <v>88.4</v>
      </c>
    </row>
    <row r="1273" spans="1:12" x14ac:dyDescent="0.25">
      <c r="A1273" s="5">
        <v>45379</v>
      </c>
      <c r="B1273" s="1" t="s">
        <v>13</v>
      </c>
      <c r="C1273" s="1" t="s">
        <v>19</v>
      </c>
      <c r="D1273" s="1" t="s">
        <v>29</v>
      </c>
      <c r="E1273" s="10">
        <v>3</v>
      </c>
      <c r="F1273" s="10">
        <v>738</v>
      </c>
      <c r="G1273" s="1" t="s">
        <v>35</v>
      </c>
      <c r="H1273" s="10">
        <f t="shared" si="39"/>
        <v>2214</v>
      </c>
      <c r="I1273" s="7">
        <v>1606.923407844241</v>
      </c>
      <c r="J1273" s="7">
        <f t="shared" si="40"/>
        <v>607.07659215575904</v>
      </c>
      <c r="K1273" s="1">
        <f>IF(B1273="North",28.6,
IF(B1273="South",13,
IF(B1273="East",22.6,
IF(B1273="West",19,
23.5))))</f>
        <v>13</v>
      </c>
      <c r="L1273" s="1">
        <f>IF(B1273="North",77.2,
IF(B1273="South",80.2,
IF(B1273="East",88.4,
IF(B1273="West",72.8,
78.9))))</f>
        <v>80.2</v>
      </c>
    </row>
    <row r="1274" spans="1:12" x14ac:dyDescent="0.25">
      <c r="A1274" s="5">
        <v>45369</v>
      </c>
      <c r="B1274" s="1" t="s">
        <v>12</v>
      </c>
      <c r="C1274" s="1" t="s">
        <v>21</v>
      </c>
      <c r="D1274" s="1" t="s">
        <v>28</v>
      </c>
      <c r="E1274" s="10">
        <v>10</v>
      </c>
      <c r="F1274" s="10">
        <v>949</v>
      </c>
      <c r="G1274" s="1" t="s">
        <v>35</v>
      </c>
      <c r="H1274" s="10">
        <f t="shared" si="39"/>
        <v>9490</v>
      </c>
      <c r="I1274" s="7">
        <f>H1274*0.7</f>
        <v>6643</v>
      </c>
      <c r="J1274" s="7">
        <f t="shared" si="40"/>
        <v>2847</v>
      </c>
      <c r="K1274" s="1">
        <f>IF(B1274="North",28.6,
IF(B1274="South",13,
IF(B1274="East",22.6,
IF(B1274="West",19,
23.5))))</f>
        <v>22.6</v>
      </c>
      <c r="L1274" s="1">
        <f>IF(B1274="North",77.2,
IF(B1274="South",80.2,
IF(B1274="East",88.4,
IF(B1274="West",72.8,
78.9))))</f>
        <v>88.4</v>
      </c>
    </row>
    <row r="1275" spans="1:12" x14ac:dyDescent="0.25">
      <c r="A1275" s="5">
        <v>45579</v>
      </c>
      <c r="B1275" s="1" t="s">
        <v>10</v>
      </c>
      <c r="C1275" s="1" t="s">
        <v>19</v>
      </c>
      <c r="D1275" s="1" t="s">
        <v>29</v>
      </c>
      <c r="E1275" s="10">
        <v>12</v>
      </c>
      <c r="F1275" s="10">
        <v>1645</v>
      </c>
      <c r="G1275" s="1" t="s">
        <v>35</v>
      </c>
      <c r="H1275" s="10">
        <f t="shared" si="39"/>
        <v>19740</v>
      </c>
      <c r="I1275" s="7">
        <v>11882.499791517879</v>
      </c>
      <c r="J1275" s="7">
        <f t="shared" si="40"/>
        <v>7857.5002084821208</v>
      </c>
      <c r="K1275" s="1">
        <f>IF(B1275="North",28.6,
IF(B1275="South",13,
IF(B1275="East",22.6,
IF(B1275="West",19,
23.5))))</f>
        <v>28.6</v>
      </c>
      <c r="L1275" s="1">
        <f>IF(B1275="North",77.2,
IF(B1275="South",80.2,
IF(B1275="East",88.4,
IF(B1275="West",72.8,
78.9))))</f>
        <v>77.2</v>
      </c>
    </row>
    <row r="1276" spans="1:12" x14ac:dyDescent="0.25">
      <c r="A1276" s="5">
        <v>45411</v>
      </c>
      <c r="B1276" s="1" t="s">
        <v>10</v>
      </c>
      <c r="C1276" s="1" t="s">
        <v>17</v>
      </c>
      <c r="D1276" s="1" t="s">
        <v>26</v>
      </c>
      <c r="E1276" s="10">
        <v>5</v>
      </c>
      <c r="F1276" s="10">
        <v>1229</v>
      </c>
      <c r="G1276" s="1" t="s">
        <v>33</v>
      </c>
      <c r="H1276" s="10">
        <f t="shared" si="39"/>
        <v>6145</v>
      </c>
      <c r="I1276" s="7">
        <v>4662.0160273014544</v>
      </c>
      <c r="J1276" s="7">
        <f t="shared" si="40"/>
        <v>1482.9839726985456</v>
      </c>
      <c r="K1276" s="1">
        <f>IF(B1276="North",28.6,
IF(B1276="South",13,
IF(B1276="East",22.6,
IF(B1276="West",19,
23.5))))</f>
        <v>28.6</v>
      </c>
      <c r="L1276" s="1">
        <f>IF(B1276="North",77.2,
IF(B1276="South",80.2,
IF(B1276="East",88.4,
IF(B1276="West",72.8,
78.9))))</f>
        <v>77.2</v>
      </c>
    </row>
    <row r="1277" spans="1:12" x14ac:dyDescent="0.25">
      <c r="A1277" s="5">
        <v>45593</v>
      </c>
      <c r="B1277" s="1" t="s">
        <v>11</v>
      </c>
      <c r="C1277" s="1" t="s">
        <v>20</v>
      </c>
      <c r="D1277" s="1" t="s">
        <v>25</v>
      </c>
      <c r="E1277" s="10">
        <v>7</v>
      </c>
      <c r="F1277" s="10">
        <v>1802</v>
      </c>
      <c r="G1277" s="1" t="s">
        <v>33</v>
      </c>
      <c r="H1277" s="10">
        <f t="shared" si="39"/>
        <v>12614</v>
      </c>
      <c r="I1277" s="7">
        <v>9148.2764518689219</v>
      </c>
      <c r="J1277" s="7">
        <f t="shared" si="40"/>
        <v>3465.7235481310781</v>
      </c>
      <c r="K1277" s="1">
        <f>IF(B1277="North",28.6,
IF(B1277="South",13,
IF(B1277="East",22.6,
IF(B1277="West",19,
23.5))))</f>
        <v>19</v>
      </c>
      <c r="L1277" s="1">
        <f>IF(B1277="North",77.2,
IF(B1277="South",80.2,
IF(B1277="East",88.4,
IF(B1277="West",72.8,
78.9))))</f>
        <v>72.8</v>
      </c>
    </row>
    <row r="1278" spans="1:12" x14ac:dyDescent="0.25">
      <c r="A1278" s="5">
        <v>45456</v>
      </c>
      <c r="B1278" s="1" t="s">
        <v>10</v>
      </c>
      <c r="C1278" s="1" t="s">
        <v>21</v>
      </c>
      <c r="D1278" s="1" t="s">
        <v>27</v>
      </c>
      <c r="E1278" s="10">
        <v>7</v>
      </c>
      <c r="F1278" s="10">
        <v>868</v>
      </c>
      <c r="G1278" s="1" t="s">
        <v>35</v>
      </c>
      <c r="H1278" s="10">
        <f t="shared" si="39"/>
        <v>6076</v>
      </c>
      <c r="I1278" s="7">
        <v>5096.6158059489362</v>
      </c>
      <c r="J1278" s="7">
        <f t="shared" si="40"/>
        <v>979.38419405106379</v>
      </c>
      <c r="K1278" s="1">
        <f>IF(B1278="North",28.6,
IF(B1278="South",13,
IF(B1278="East",22.6,
IF(B1278="West",19,
23.5))))</f>
        <v>28.6</v>
      </c>
      <c r="L1278" s="1">
        <f>IF(B1278="North",77.2,
IF(B1278="South",80.2,
IF(B1278="East",88.4,
IF(B1278="West",72.8,
78.9))))</f>
        <v>77.2</v>
      </c>
    </row>
    <row r="1279" spans="1:12" x14ac:dyDescent="0.25">
      <c r="A1279" s="5">
        <v>45473</v>
      </c>
      <c r="B1279" s="1" t="s">
        <v>10</v>
      </c>
      <c r="C1279" s="1" t="s">
        <v>22</v>
      </c>
      <c r="D1279" s="1" t="s">
        <v>28</v>
      </c>
      <c r="E1279" s="10">
        <v>13</v>
      </c>
      <c r="F1279" s="10">
        <v>1930</v>
      </c>
      <c r="G1279" s="1" t="s">
        <v>35</v>
      </c>
      <c r="H1279" s="10">
        <f t="shared" si="39"/>
        <v>25090</v>
      </c>
      <c r="I1279" s="7">
        <v>19138.55708182371</v>
      </c>
      <c r="J1279" s="7">
        <f t="shared" si="40"/>
        <v>5951.4429181762898</v>
      </c>
      <c r="K1279" s="1">
        <f>IF(B1279="North",28.6,
IF(B1279="South",13,
IF(B1279="East",22.6,
IF(B1279="West",19,
23.5))))</f>
        <v>28.6</v>
      </c>
      <c r="L1279" s="1">
        <f>IF(B1279="North",77.2,
IF(B1279="South",80.2,
IF(B1279="East",88.4,
IF(B1279="West",72.8,
78.9))))</f>
        <v>77.2</v>
      </c>
    </row>
    <row r="1280" spans="1:12" x14ac:dyDescent="0.25">
      <c r="A1280" s="5">
        <v>45514</v>
      </c>
      <c r="B1280" s="1" t="s">
        <v>13</v>
      </c>
      <c r="C1280" s="1" t="s">
        <v>17</v>
      </c>
      <c r="D1280" s="1" t="s">
        <v>31</v>
      </c>
      <c r="E1280" s="10">
        <v>9</v>
      </c>
      <c r="F1280" s="10">
        <v>376</v>
      </c>
      <c r="G1280" s="1" t="s">
        <v>33</v>
      </c>
      <c r="H1280" s="10">
        <f t="shared" si="39"/>
        <v>3384</v>
      </c>
      <c r="I1280" s="7">
        <v>2981.3439752416348</v>
      </c>
      <c r="J1280" s="7">
        <f t="shared" si="40"/>
        <v>402.65602475836522</v>
      </c>
      <c r="K1280" s="1">
        <f>IF(B1280="North",28.6,
IF(B1280="South",13,
IF(B1280="East",22.6,
IF(B1280="West",19,
23.5))))</f>
        <v>13</v>
      </c>
      <c r="L1280" s="1">
        <f>IF(B1280="North",77.2,
IF(B1280="South",80.2,
IF(B1280="East",88.4,
IF(B1280="West",72.8,
78.9))))</f>
        <v>80.2</v>
      </c>
    </row>
    <row r="1281" spans="1:12" x14ac:dyDescent="0.25">
      <c r="A1281" s="5">
        <v>45602</v>
      </c>
      <c r="B1281" s="1" t="s">
        <v>11</v>
      </c>
      <c r="C1281" s="1" t="s">
        <v>19</v>
      </c>
      <c r="D1281" s="1" t="s">
        <v>27</v>
      </c>
      <c r="E1281" s="10">
        <v>13</v>
      </c>
      <c r="F1281" s="10">
        <v>1188</v>
      </c>
      <c r="G1281" s="1" t="s">
        <v>35</v>
      </c>
      <c r="H1281" s="10">
        <f t="shared" si="39"/>
        <v>15444</v>
      </c>
      <c r="I1281" s="7">
        <v>10175.15954928278</v>
      </c>
      <c r="J1281" s="7">
        <f t="shared" si="40"/>
        <v>5268.8404507172199</v>
      </c>
      <c r="K1281" s="1">
        <f>IF(B1281="North",28.6,
IF(B1281="South",13,
IF(B1281="East",22.6,
IF(B1281="West",19,
23.5))))</f>
        <v>19</v>
      </c>
      <c r="L1281" s="1">
        <f>IF(B1281="North",77.2,
IF(B1281="South",80.2,
IF(B1281="East",88.4,
IF(B1281="West",72.8,
78.9))))</f>
        <v>72.8</v>
      </c>
    </row>
    <row r="1282" spans="1:12" x14ac:dyDescent="0.25">
      <c r="A1282" s="5">
        <v>45298</v>
      </c>
      <c r="B1282" s="1" t="s">
        <v>13</v>
      </c>
      <c r="C1282" s="1" t="s">
        <v>40</v>
      </c>
      <c r="D1282" s="1" t="s">
        <v>27</v>
      </c>
      <c r="E1282" s="10">
        <v>12</v>
      </c>
      <c r="F1282" s="10">
        <v>1906</v>
      </c>
      <c r="G1282" s="1" t="s">
        <v>35</v>
      </c>
      <c r="H1282" s="10">
        <f t="shared" si="39"/>
        <v>22872</v>
      </c>
      <c r="I1282" s="7">
        <v>20517.215575585989</v>
      </c>
      <c r="J1282" s="7">
        <f t="shared" si="40"/>
        <v>2354.7844244140106</v>
      </c>
      <c r="K1282" s="1">
        <f>IF(B1282="North",28.6,
IF(B1282="South",13,
IF(B1282="East",22.6,
IF(B1282="West",19,
23.5))))</f>
        <v>13</v>
      </c>
      <c r="L1282" s="1">
        <f>IF(B1282="North",77.2,
IF(B1282="South",80.2,
IF(B1282="East",88.4,
IF(B1282="West",72.8,
78.9))))</f>
        <v>80.2</v>
      </c>
    </row>
    <row r="1283" spans="1:12" x14ac:dyDescent="0.25">
      <c r="A1283" s="5">
        <v>45621</v>
      </c>
      <c r="B1283" s="1" t="s">
        <v>12</v>
      </c>
      <c r="C1283" s="1" t="s">
        <v>20</v>
      </c>
      <c r="D1283" s="1" t="s">
        <v>36</v>
      </c>
      <c r="E1283" s="10">
        <v>13</v>
      </c>
      <c r="F1283" s="10">
        <v>999</v>
      </c>
      <c r="G1283" s="1" t="s">
        <v>33</v>
      </c>
      <c r="H1283" s="10">
        <f t="shared" ref="H1283:H1346" si="41">E1283*F1283</f>
        <v>12987</v>
      </c>
      <c r="I1283" s="7">
        <v>8952.9229729593972</v>
      </c>
      <c r="J1283" s="7">
        <f t="shared" ref="J1283:J1346" si="42">H1283-I1283</f>
        <v>4034.0770270406028</v>
      </c>
      <c r="K1283" s="1">
        <f>IF(B1283="North",28.6,
IF(B1283="South",13,
IF(B1283="East",22.6,
IF(B1283="West",19,
23.5))))</f>
        <v>22.6</v>
      </c>
      <c r="L1283" s="1">
        <f>IF(B1283="North",77.2,
IF(B1283="South",80.2,
IF(B1283="East",88.4,
IF(B1283="West",72.8,
78.9))))</f>
        <v>88.4</v>
      </c>
    </row>
    <row r="1284" spans="1:12" x14ac:dyDescent="0.25">
      <c r="A1284" s="5">
        <v>45554</v>
      </c>
      <c r="B1284" s="1" t="s">
        <v>10</v>
      </c>
      <c r="C1284" s="1" t="s">
        <v>22</v>
      </c>
      <c r="D1284" s="1" t="s">
        <v>31</v>
      </c>
      <c r="E1284" s="10">
        <v>10</v>
      </c>
      <c r="F1284" s="10">
        <v>287</v>
      </c>
      <c r="G1284" s="1" t="s">
        <v>35</v>
      </c>
      <c r="H1284" s="10">
        <f t="shared" si="41"/>
        <v>2870</v>
      </c>
      <c r="I1284" s="7">
        <v>2275.127041246616</v>
      </c>
      <c r="J1284" s="7">
        <f t="shared" si="42"/>
        <v>594.87295875338395</v>
      </c>
      <c r="K1284" s="1">
        <f>IF(B1284="North",28.6,
IF(B1284="South",13,
IF(B1284="East",22.6,
IF(B1284="West",19,
23.5))))</f>
        <v>28.6</v>
      </c>
      <c r="L1284" s="1">
        <f>IF(B1284="North",77.2,
IF(B1284="South",80.2,
IF(B1284="East",88.4,
IF(B1284="West",72.8,
78.9))))</f>
        <v>77.2</v>
      </c>
    </row>
    <row r="1285" spans="1:12" x14ac:dyDescent="0.25">
      <c r="A1285" s="5">
        <v>45452</v>
      </c>
      <c r="B1285" s="1" t="s">
        <v>12</v>
      </c>
      <c r="C1285" s="1" t="s">
        <v>22</v>
      </c>
      <c r="D1285" s="1" t="s">
        <v>25</v>
      </c>
      <c r="E1285" s="10">
        <v>1</v>
      </c>
      <c r="F1285" s="10">
        <v>1440</v>
      </c>
      <c r="G1285" s="1" t="s">
        <v>35</v>
      </c>
      <c r="H1285" s="10">
        <f t="shared" si="41"/>
        <v>1440</v>
      </c>
      <c r="I1285" s="7">
        <v>1080.800804282394</v>
      </c>
      <c r="J1285" s="7">
        <f t="shared" si="42"/>
        <v>359.19919571760602</v>
      </c>
      <c r="K1285" s="1">
        <f>IF(B1285="North",28.6,
IF(B1285="South",13,
IF(B1285="East",22.6,
IF(B1285="West",19,
23.5))))</f>
        <v>22.6</v>
      </c>
      <c r="L1285" s="1">
        <f>IF(B1285="North",77.2,
IF(B1285="South",80.2,
IF(B1285="East",88.4,
IF(B1285="West",72.8,
78.9))))</f>
        <v>88.4</v>
      </c>
    </row>
    <row r="1286" spans="1:12" x14ac:dyDescent="0.25">
      <c r="A1286" s="5">
        <v>45442</v>
      </c>
      <c r="B1286" s="1" t="s">
        <v>13</v>
      </c>
      <c r="C1286" s="1" t="s">
        <v>24</v>
      </c>
      <c r="D1286" s="1" t="s">
        <v>30</v>
      </c>
      <c r="E1286" s="10">
        <v>8</v>
      </c>
      <c r="F1286" s="10">
        <v>1261</v>
      </c>
      <c r="G1286" s="1" t="s">
        <v>35</v>
      </c>
      <c r="H1286" s="10">
        <f t="shared" si="41"/>
        <v>10088</v>
      </c>
      <c r="I1286" s="7">
        <v>7141.0220207407283</v>
      </c>
      <c r="J1286" s="7">
        <f t="shared" si="42"/>
        <v>2946.9779792592717</v>
      </c>
      <c r="K1286" s="1">
        <f>IF(B1286="North",28.6,
IF(B1286="South",13,
IF(B1286="East",22.6,
IF(B1286="West",19,
23.5))))</f>
        <v>13</v>
      </c>
      <c r="L1286" s="1">
        <f>IF(B1286="North",77.2,
IF(B1286="South",80.2,
IF(B1286="East",88.4,
IF(B1286="West",72.8,
78.9))))</f>
        <v>80.2</v>
      </c>
    </row>
    <row r="1287" spans="1:12" x14ac:dyDescent="0.25">
      <c r="A1287" s="5">
        <v>45376</v>
      </c>
      <c r="B1287" s="1" t="s">
        <v>10</v>
      </c>
      <c r="C1287" s="1" t="s">
        <v>22</v>
      </c>
      <c r="D1287" s="1" t="s">
        <v>25</v>
      </c>
      <c r="E1287" s="10">
        <v>16</v>
      </c>
      <c r="F1287" s="10">
        <v>1466</v>
      </c>
      <c r="G1287" s="1" t="s">
        <v>35</v>
      </c>
      <c r="H1287" s="10">
        <f t="shared" si="41"/>
        <v>23456</v>
      </c>
      <c r="I1287" s="7">
        <v>15053.89086080229</v>
      </c>
      <c r="J1287" s="7">
        <f t="shared" si="42"/>
        <v>8402.1091391977097</v>
      </c>
      <c r="K1287" s="1">
        <f>IF(B1287="North",28.6,
IF(B1287="South",13,
IF(B1287="East",22.6,
IF(B1287="West",19,
23.5))))</f>
        <v>28.6</v>
      </c>
      <c r="L1287" s="1">
        <f>IF(B1287="North",77.2,
IF(B1287="South",80.2,
IF(B1287="East",88.4,
IF(B1287="West",72.8,
78.9))))</f>
        <v>77.2</v>
      </c>
    </row>
    <row r="1288" spans="1:12" x14ac:dyDescent="0.25">
      <c r="A1288" s="5">
        <v>45438</v>
      </c>
      <c r="B1288" s="1" t="s">
        <v>10</v>
      </c>
      <c r="C1288" s="1" t="s">
        <v>20</v>
      </c>
      <c r="D1288" s="1" t="s">
        <v>25</v>
      </c>
      <c r="E1288" s="10">
        <v>13</v>
      </c>
      <c r="F1288" s="10">
        <v>204</v>
      </c>
      <c r="G1288" s="1" t="s">
        <v>33</v>
      </c>
      <c r="H1288" s="10">
        <f t="shared" si="41"/>
        <v>2652</v>
      </c>
      <c r="I1288" s="7">
        <v>1698.4740508953801</v>
      </c>
      <c r="J1288" s="7">
        <f t="shared" si="42"/>
        <v>953.52594910461994</v>
      </c>
      <c r="K1288" s="1">
        <f>IF(B1288="North",28.6,
IF(B1288="South",13,
IF(B1288="East",22.6,
IF(B1288="West",19,
23.5))))</f>
        <v>28.6</v>
      </c>
      <c r="L1288" s="1">
        <f>IF(B1288="North",77.2,
IF(B1288="South",80.2,
IF(B1288="East",88.4,
IF(B1288="West",72.8,
78.9))))</f>
        <v>77.2</v>
      </c>
    </row>
    <row r="1289" spans="1:12" x14ac:dyDescent="0.25">
      <c r="A1289" s="5">
        <v>45403</v>
      </c>
      <c r="B1289" s="1" t="s">
        <v>13</v>
      </c>
      <c r="C1289" s="1" t="s">
        <v>23</v>
      </c>
      <c r="D1289" s="1" t="s">
        <v>25</v>
      </c>
      <c r="E1289" s="10">
        <v>3</v>
      </c>
      <c r="F1289" s="10">
        <v>645</v>
      </c>
      <c r="G1289" s="1" t="s">
        <v>34</v>
      </c>
      <c r="H1289" s="10">
        <f t="shared" si="41"/>
        <v>1935</v>
      </c>
      <c r="I1289" s="7">
        <v>1574.029132793042</v>
      </c>
      <c r="J1289" s="7">
        <f t="shared" si="42"/>
        <v>360.97086720695802</v>
      </c>
      <c r="K1289" s="1">
        <f>IF(B1289="North",28.6,
IF(B1289="South",13,
IF(B1289="East",22.6,
IF(B1289="West",19,
23.5))))</f>
        <v>13</v>
      </c>
      <c r="L1289" s="1">
        <f>IF(B1289="North",77.2,
IF(B1289="South",80.2,
IF(B1289="East",88.4,
IF(B1289="West",72.8,
78.9))))</f>
        <v>80.2</v>
      </c>
    </row>
    <row r="1290" spans="1:12" x14ac:dyDescent="0.25">
      <c r="A1290" s="5">
        <v>45327</v>
      </c>
      <c r="B1290" s="1" t="s">
        <v>13</v>
      </c>
      <c r="C1290" s="1" t="s">
        <v>24</v>
      </c>
      <c r="D1290" s="1" t="s">
        <v>32</v>
      </c>
      <c r="E1290" s="10">
        <v>3</v>
      </c>
      <c r="F1290" s="10">
        <v>479</v>
      </c>
      <c r="G1290" s="1" t="s">
        <v>35</v>
      </c>
      <c r="H1290" s="10">
        <f t="shared" si="41"/>
        <v>1437</v>
      </c>
      <c r="I1290" s="7">
        <v>1025.0012002010881</v>
      </c>
      <c r="J1290" s="7">
        <f t="shared" si="42"/>
        <v>411.99879979891193</v>
      </c>
      <c r="K1290" s="1">
        <f>IF(B1290="North",28.6,
IF(B1290="South",13,
IF(B1290="East",22.6,
IF(B1290="West",19,
23.5))))</f>
        <v>13</v>
      </c>
      <c r="L1290" s="1">
        <f>IF(B1290="North",77.2,
IF(B1290="South",80.2,
IF(B1290="East",88.4,
IF(B1290="West",72.8,
78.9))))</f>
        <v>80.2</v>
      </c>
    </row>
    <row r="1291" spans="1:12" x14ac:dyDescent="0.25">
      <c r="A1291" s="5">
        <v>45576</v>
      </c>
      <c r="B1291" s="1" t="s">
        <v>13</v>
      </c>
      <c r="C1291" s="1" t="s">
        <v>24</v>
      </c>
      <c r="D1291" s="1" t="s">
        <v>29</v>
      </c>
      <c r="E1291" s="10">
        <v>5</v>
      </c>
      <c r="F1291" s="10">
        <v>209</v>
      </c>
      <c r="G1291" s="1" t="s">
        <v>35</v>
      </c>
      <c r="H1291" s="10">
        <f t="shared" si="41"/>
        <v>1045</v>
      </c>
      <c r="I1291" s="7">
        <v>928.36691489067766</v>
      </c>
      <c r="J1291" s="7">
        <f t="shared" si="42"/>
        <v>116.63308510932234</v>
      </c>
      <c r="K1291" s="1">
        <f>IF(B1291="North",28.6,
IF(B1291="South",13,
IF(B1291="East",22.6,
IF(B1291="West",19,
23.5))))</f>
        <v>13</v>
      </c>
      <c r="L1291" s="1">
        <f>IF(B1291="North",77.2,
IF(B1291="South",80.2,
IF(B1291="East",88.4,
IF(B1291="West",72.8,
78.9))))</f>
        <v>80.2</v>
      </c>
    </row>
    <row r="1292" spans="1:12" x14ac:dyDescent="0.25">
      <c r="A1292" s="5">
        <v>45479</v>
      </c>
      <c r="B1292" s="1" t="s">
        <v>13</v>
      </c>
      <c r="C1292" s="1" t="s">
        <v>40</v>
      </c>
      <c r="D1292" s="1" t="s">
        <v>26</v>
      </c>
      <c r="E1292" s="10">
        <v>11</v>
      </c>
      <c r="F1292" s="10">
        <v>644</v>
      </c>
      <c r="G1292" s="1" t="s">
        <v>35</v>
      </c>
      <c r="H1292" s="10">
        <f t="shared" si="41"/>
        <v>7084</v>
      </c>
      <c r="I1292" s="7">
        <v>4942.4681635232691</v>
      </c>
      <c r="J1292" s="7">
        <f t="shared" si="42"/>
        <v>2141.5318364767309</v>
      </c>
      <c r="K1292" s="1">
        <f>IF(B1292="North",28.6,
IF(B1292="South",13,
IF(B1292="East",22.6,
IF(B1292="West",19,
23.5))))</f>
        <v>13</v>
      </c>
      <c r="L1292" s="1">
        <f>IF(B1292="North",77.2,
IF(B1292="South",80.2,
IF(B1292="East",88.4,
IF(B1292="West",72.8,
78.9))))</f>
        <v>80.2</v>
      </c>
    </row>
    <row r="1293" spans="1:12" x14ac:dyDescent="0.25">
      <c r="A1293" s="5">
        <v>45373</v>
      </c>
      <c r="B1293" s="1" t="s">
        <v>13</v>
      </c>
      <c r="C1293" s="1" t="s">
        <v>19</v>
      </c>
      <c r="D1293" s="1" t="s">
        <v>29</v>
      </c>
      <c r="E1293" s="10">
        <v>7</v>
      </c>
      <c r="F1293" s="10">
        <v>453</v>
      </c>
      <c r="G1293" s="1" t="s">
        <v>35</v>
      </c>
      <c r="H1293" s="10">
        <f t="shared" si="41"/>
        <v>3171</v>
      </c>
      <c r="I1293" s="7">
        <v>2838.2261164988372</v>
      </c>
      <c r="J1293" s="7">
        <f t="shared" si="42"/>
        <v>332.7738835011628</v>
      </c>
      <c r="K1293" s="1">
        <f>IF(B1293="North",28.6,
IF(B1293="South",13,
IF(B1293="East",22.6,
IF(B1293="West",19,
23.5))))</f>
        <v>13</v>
      </c>
      <c r="L1293" s="1">
        <f>IF(B1293="North",77.2,
IF(B1293="South",80.2,
IF(B1293="East",88.4,
IF(B1293="West",72.8,
78.9))))</f>
        <v>80.2</v>
      </c>
    </row>
    <row r="1294" spans="1:12" x14ac:dyDescent="0.25">
      <c r="A1294" s="5">
        <v>45293</v>
      </c>
      <c r="B1294" s="1" t="s">
        <v>10</v>
      </c>
      <c r="C1294" s="1" t="s">
        <v>22</v>
      </c>
      <c r="D1294" s="1" t="s">
        <v>28</v>
      </c>
      <c r="E1294" s="10">
        <v>10</v>
      </c>
      <c r="F1294" s="10">
        <v>842</v>
      </c>
      <c r="G1294" s="1" t="s">
        <v>35</v>
      </c>
      <c r="H1294" s="10">
        <f t="shared" si="41"/>
        <v>8420</v>
      </c>
      <c r="I1294" s="7">
        <v>5570.8991461596333</v>
      </c>
      <c r="J1294" s="7">
        <f t="shared" si="42"/>
        <v>2849.1008538403667</v>
      </c>
      <c r="K1294" s="1">
        <f>IF(B1294="North",28.6,
IF(B1294="South",13,
IF(B1294="East",22.6,
IF(B1294="West",19,
23.5))))</f>
        <v>28.6</v>
      </c>
      <c r="L1294" s="1">
        <f>IF(B1294="North",77.2,
IF(B1294="South",80.2,
IF(B1294="East",88.4,
IF(B1294="West",72.8,
78.9))))</f>
        <v>77.2</v>
      </c>
    </row>
    <row r="1295" spans="1:12" x14ac:dyDescent="0.25">
      <c r="A1295" s="5">
        <v>45594</v>
      </c>
      <c r="B1295" s="1" t="s">
        <v>13</v>
      </c>
      <c r="C1295" s="1" t="s">
        <v>24</v>
      </c>
      <c r="D1295" s="1" t="s">
        <v>25</v>
      </c>
      <c r="E1295" s="10">
        <v>10</v>
      </c>
      <c r="F1295" s="10">
        <v>416</v>
      </c>
      <c r="G1295" s="1" t="s">
        <v>35</v>
      </c>
      <c r="H1295" s="10">
        <f t="shared" si="41"/>
        <v>4160</v>
      </c>
      <c r="I1295" s="7">
        <v>2624.3123540163551</v>
      </c>
      <c r="J1295" s="7">
        <f t="shared" si="42"/>
        <v>1535.6876459836449</v>
      </c>
      <c r="K1295" s="1">
        <f>IF(B1295="North",28.6,
IF(B1295="South",13,
IF(B1295="East",22.6,
IF(B1295="West",19,
23.5))))</f>
        <v>13</v>
      </c>
      <c r="L1295" s="1">
        <f>IF(B1295="North",77.2,
IF(B1295="South",80.2,
IF(B1295="East",88.4,
IF(B1295="West",72.8,
78.9))))</f>
        <v>80.2</v>
      </c>
    </row>
    <row r="1296" spans="1:12" x14ac:dyDescent="0.25">
      <c r="A1296" s="5">
        <v>45488</v>
      </c>
      <c r="B1296" s="1" t="s">
        <v>10</v>
      </c>
      <c r="C1296" s="1" t="s">
        <v>18</v>
      </c>
      <c r="D1296" s="1" t="s">
        <v>30</v>
      </c>
      <c r="E1296" s="10">
        <v>10</v>
      </c>
      <c r="F1296" s="10">
        <v>1389</v>
      </c>
      <c r="G1296" s="1" t="s">
        <v>34</v>
      </c>
      <c r="H1296" s="10">
        <f t="shared" si="41"/>
        <v>13890</v>
      </c>
      <c r="I1296" s="7">
        <f>H1296*0.7</f>
        <v>9723</v>
      </c>
      <c r="J1296" s="7">
        <f t="shared" si="42"/>
        <v>4167</v>
      </c>
      <c r="K1296" s="1">
        <f>IF(B1296="North",28.6,
IF(B1296="South",13,
IF(B1296="East",22.6,
IF(B1296="West",19,
23.5))))</f>
        <v>28.6</v>
      </c>
      <c r="L1296" s="1">
        <f>IF(B1296="North",77.2,
IF(B1296="South",80.2,
IF(B1296="East",88.4,
IF(B1296="West",72.8,
78.9))))</f>
        <v>77.2</v>
      </c>
    </row>
    <row r="1297" spans="1:12" x14ac:dyDescent="0.25">
      <c r="A1297" s="5">
        <v>45302</v>
      </c>
      <c r="B1297" s="1" t="s">
        <v>10</v>
      </c>
      <c r="C1297" s="1" t="s">
        <v>19</v>
      </c>
      <c r="D1297" s="1" t="s">
        <v>36</v>
      </c>
      <c r="E1297" s="10">
        <v>3</v>
      </c>
      <c r="F1297" s="10">
        <v>1817</v>
      </c>
      <c r="G1297" s="1" t="s">
        <v>35</v>
      </c>
      <c r="H1297" s="10">
        <f t="shared" si="41"/>
        <v>5451</v>
      </c>
      <c r="I1297" s="7">
        <v>4718.7968061525717</v>
      </c>
      <c r="J1297" s="7">
        <f t="shared" si="42"/>
        <v>732.20319384742834</v>
      </c>
      <c r="K1297" s="1">
        <f>IF(B1297="North",28.6,
IF(B1297="South",13,
IF(B1297="East",22.6,
IF(B1297="West",19,
23.5))))</f>
        <v>28.6</v>
      </c>
      <c r="L1297" s="1">
        <f>IF(B1297="North",77.2,
IF(B1297="South",80.2,
IF(B1297="East",88.4,
IF(B1297="West",72.8,
78.9))))</f>
        <v>77.2</v>
      </c>
    </row>
    <row r="1298" spans="1:12" x14ac:dyDescent="0.25">
      <c r="A1298" s="5">
        <v>45525</v>
      </c>
      <c r="B1298" s="1" t="s">
        <v>13</v>
      </c>
      <c r="C1298" s="1" t="s">
        <v>20</v>
      </c>
      <c r="D1298" s="1" t="s">
        <v>29</v>
      </c>
      <c r="E1298" s="10">
        <v>8</v>
      </c>
      <c r="F1298" s="10">
        <v>1975</v>
      </c>
      <c r="G1298" s="1" t="s">
        <v>33</v>
      </c>
      <c r="H1298" s="10">
        <f t="shared" si="41"/>
        <v>15800</v>
      </c>
      <c r="I1298" s="7">
        <v>11953.57821690765</v>
      </c>
      <c r="J1298" s="7">
        <f t="shared" si="42"/>
        <v>3846.4217830923499</v>
      </c>
      <c r="K1298" s="1">
        <f>IF(B1298="North",28.6,
IF(B1298="South",13,
IF(B1298="East",22.6,
IF(B1298="West",19,
23.5))))</f>
        <v>13</v>
      </c>
      <c r="L1298" s="1">
        <f>IF(B1298="North",77.2,
IF(B1298="South",80.2,
IF(B1298="East",88.4,
IF(B1298="West",72.8,
78.9))))</f>
        <v>80.2</v>
      </c>
    </row>
    <row r="1299" spans="1:12" x14ac:dyDescent="0.25">
      <c r="A1299" s="5">
        <v>45486</v>
      </c>
      <c r="B1299" s="1" t="s">
        <v>13</v>
      </c>
      <c r="C1299" s="1" t="s">
        <v>18</v>
      </c>
      <c r="D1299" s="1" t="s">
        <v>26</v>
      </c>
      <c r="E1299" s="10">
        <v>11</v>
      </c>
      <c r="F1299" s="10">
        <v>1188</v>
      </c>
      <c r="G1299" s="1" t="s">
        <v>34</v>
      </c>
      <c r="H1299" s="10">
        <f t="shared" si="41"/>
        <v>13068</v>
      </c>
      <c r="I1299" s="7">
        <v>8372.6026753162296</v>
      </c>
      <c r="J1299" s="7">
        <f t="shared" si="42"/>
        <v>4695.3973246837704</v>
      </c>
      <c r="K1299" s="1">
        <f>IF(B1299="North",28.6,
IF(B1299="South",13,
IF(B1299="East",22.6,
IF(B1299="West",19,
23.5))))</f>
        <v>13</v>
      </c>
      <c r="L1299" s="1">
        <f>IF(B1299="North",77.2,
IF(B1299="South",80.2,
IF(B1299="East",88.4,
IF(B1299="West",72.8,
78.9))))</f>
        <v>80.2</v>
      </c>
    </row>
    <row r="1300" spans="1:12" x14ac:dyDescent="0.25">
      <c r="A1300" s="5">
        <v>45410</v>
      </c>
      <c r="B1300" s="1" t="s">
        <v>11</v>
      </c>
      <c r="C1300" s="1" t="s">
        <v>19</v>
      </c>
      <c r="D1300" s="1" t="s">
        <v>31</v>
      </c>
      <c r="E1300" s="10">
        <v>13</v>
      </c>
      <c r="F1300" s="10">
        <v>432</v>
      </c>
      <c r="G1300" s="1" t="s">
        <v>35</v>
      </c>
      <c r="H1300" s="10">
        <f t="shared" si="41"/>
        <v>5616</v>
      </c>
      <c r="I1300" s="7">
        <v>3710.7703987729792</v>
      </c>
      <c r="J1300" s="7">
        <f t="shared" si="42"/>
        <v>1905.2296012270208</v>
      </c>
      <c r="K1300" s="1">
        <f>IF(B1300="North",28.6,
IF(B1300="South",13,
IF(B1300="East",22.6,
IF(B1300="West",19,
23.5))))</f>
        <v>19</v>
      </c>
      <c r="L1300" s="1">
        <f>IF(B1300="North",77.2,
IF(B1300="South",80.2,
IF(B1300="East",88.4,
IF(B1300="West",72.8,
78.9))))</f>
        <v>72.8</v>
      </c>
    </row>
    <row r="1301" spans="1:12" x14ac:dyDescent="0.25">
      <c r="A1301" s="5">
        <v>45311</v>
      </c>
      <c r="B1301" s="1" t="s">
        <v>10</v>
      </c>
      <c r="C1301" s="1" t="s">
        <v>21</v>
      </c>
      <c r="D1301" s="1" t="s">
        <v>29</v>
      </c>
      <c r="E1301" s="10">
        <v>7</v>
      </c>
      <c r="F1301" s="10">
        <v>1636</v>
      </c>
      <c r="G1301" s="1" t="s">
        <v>35</v>
      </c>
      <c r="H1301" s="10">
        <f t="shared" si="41"/>
        <v>11452</v>
      </c>
      <c r="I1301" s="7">
        <v>7940.5671308810388</v>
      </c>
      <c r="J1301" s="7">
        <f t="shared" si="42"/>
        <v>3511.4328691189612</v>
      </c>
      <c r="K1301" s="1">
        <f>IF(B1301="North",28.6,
IF(B1301="South",13,
IF(B1301="East",22.6,
IF(B1301="West",19,
23.5))))</f>
        <v>28.6</v>
      </c>
      <c r="L1301" s="1">
        <f>IF(B1301="North",77.2,
IF(B1301="South",80.2,
IF(B1301="East",88.4,
IF(B1301="West",72.8,
78.9))))</f>
        <v>77.2</v>
      </c>
    </row>
    <row r="1302" spans="1:12" x14ac:dyDescent="0.25">
      <c r="A1302" s="5">
        <v>45552</v>
      </c>
      <c r="B1302" s="1" t="s">
        <v>13</v>
      </c>
      <c r="C1302" s="1" t="s">
        <v>21</v>
      </c>
      <c r="D1302" s="1" t="s">
        <v>27</v>
      </c>
      <c r="E1302" s="10">
        <v>13</v>
      </c>
      <c r="F1302" s="10">
        <v>1256</v>
      </c>
      <c r="G1302" s="1" t="s">
        <v>35</v>
      </c>
      <c r="H1302" s="10">
        <f t="shared" si="41"/>
        <v>16328</v>
      </c>
      <c r="I1302" s="7">
        <v>12687.672748501769</v>
      </c>
      <c r="J1302" s="7">
        <f t="shared" si="42"/>
        <v>3640.3272514982309</v>
      </c>
      <c r="K1302" s="1">
        <f>IF(B1302="North",28.6,
IF(B1302="South",13,
IF(B1302="East",22.6,
IF(B1302="West",19,
23.5))))</f>
        <v>13</v>
      </c>
      <c r="L1302" s="1">
        <f>IF(B1302="North",77.2,
IF(B1302="South",80.2,
IF(B1302="East",88.4,
IF(B1302="West",72.8,
78.9))))</f>
        <v>80.2</v>
      </c>
    </row>
    <row r="1303" spans="1:12" x14ac:dyDescent="0.25">
      <c r="A1303" s="5">
        <v>45584</v>
      </c>
      <c r="B1303" s="1" t="s">
        <v>13</v>
      </c>
      <c r="C1303" s="1" t="s">
        <v>19</v>
      </c>
      <c r="D1303" s="1" t="s">
        <v>29</v>
      </c>
      <c r="E1303" s="10">
        <v>2</v>
      </c>
      <c r="F1303" s="10">
        <v>691</v>
      </c>
      <c r="G1303" s="1" t="s">
        <v>35</v>
      </c>
      <c r="H1303" s="10">
        <f t="shared" si="41"/>
        <v>1382</v>
      </c>
      <c r="I1303" s="7">
        <v>967.00430847326152</v>
      </c>
      <c r="J1303" s="7">
        <f t="shared" si="42"/>
        <v>414.99569152673848</v>
      </c>
      <c r="K1303" s="1">
        <f>IF(B1303="North",28.6,
IF(B1303="South",13,
IF(B1303="East",22.6,
IF(B1303="West",19,
23.5))))</f>
        <v>13</v>
      </c>
      <c r="L1303" s="1">
        <f>IF(B1303="North",77.2,
IF(B1303="South",80.2,
IF(B1303="East",88.4,
IF(B1303="West",72.8,
78.9))))</f>
        <v>80.2</v>
      </c>
    </row>
    <row r="1304" spans="1:12" x14ac:dyDescent="0.25">
      <c r="A1304" s="5">
        <v>45547</v>
      </c>
      <c r="B1304" s="1" t="s">
        <v>13</v>
      </c>
      <c r="C1304" s="1" t="s">
        <v>24</v>
      </c>
      <c r="D1304" s="1" t="s">
        <v>27</v>
      </c>
      <c r="E1304" s="10">
        <v>6</v>
      </c>
      <c r="F1304" s="10">
        <v>882</v>
      </c>
      <c r="G1304" s="1" t="s">
        <v>35</v>
      </c>
      <c r="H1304" s="10">
        <f t="shared" si="41"/>
        <v>5292</v>
      </c>
      <c r="I1304" s="7">
        <v>4361.2230607250158</v>
      </c>
      <c r="J1304" s="7">
        <f t="shared" si="42"/>
        <v>930.77693927498422</v>
      </c>
      <c r="K1304" s="1">
        <f>IF(B1304="North",28.6,
IF(B1304="South",13,
IF(B1304="East",22.6,
IF(B1304="West",19,
23.5))))</f>
        <v>13</v>
      </c>
      <c r="L1304" s="1">
        <f>IF(B1304="North",77.2,
IF(B1304="South",80.2,
IF(B1304="East",88.4,
IF(B1304="West",72.8,
78.9))))</f>
        <v>80.2</v>
      </c>
    </row>
    <row r="1305" spans="1:12" x14ac:dyDescent="0.25">
      <c r="A1305" s="5">
        <v>45513</v>
      </c>
      <c r="B1305" s="1" t="s">
        <v>11</v>
      </c>
      <c r="C1305" s="1" t="s">
        <v>40</v>
      </c>
      <c r="D1305" s="1" t="s">
        <v>31</v>
      </c>
      <c r="E1305" s="10">
        <v>9</v>
      </c>
      <c r="F1305" s="10">
        <v>1876</v>
      </c>
      <c r="G1305" s="1" t="s">
        <v>34</v>
      </c>
      <c r="H1305" s="10">
        <f t="shared" si="41"/>
        <v>16884</v>
      </c>
      <c r="I1305" s="7">
        <v>13252.050120789771</v>
      </c>
      <c r="J1305" s="7">
        <f t="shared" si="42"/>
        <v>3631.9498792102295</v>
      </c>
      <c r="K1305" s="1">
        <f>IF(B1305="North",28.6,
IF(B1305="South",13,
IF(B1305="East",22.6,
IF(B1305="West",19,
23.5))))</f>
        <v>19</v>
      </c>
      <c r="L1305" s="1">
        <f>IF(B1305="North",77.2,
IF(B1305="South",80.2,
IF(B1305="East",88.4,
IF(B1305="West",72.8,
78.9))))</f>
        <v>72.8</v>
      </c>
    </row>
    <row r="1306" spans="1:12" x14ac:dyDescent="0.25">
      <c r="A1306" s="5">
        <v>45517</v>
      </c>
      <c r="B1306" s="1" t="s">
        <v>11</v>
      </c>
      <c r="C1306" s="1" t="s">
        <v>23</v>
      </c>
      <c r="D1306" s="1" t="s">
        <v>29</v>
      </c>
      <c r="E1306" s="10">
        <v>2</v>
      </c>
      <c r="F1306" s="10">
        <v>639</v>
      </c>
      <c r="G1306" s="1" t="s">
        <v>34</v>
      </c>
      <c r="H1306" s="10">
        <f t="shared" si="41"/>
        <v>1278</v>
      </c>
      <c r="I1306" s="7">
        <v>1101.8240209012711</v>
      </c>
      <c r="J1306" s="7">
        <f t="shared" si="42"/>
        <v>176.17597909872893</v>
      </c>
      <c r="K1306" s="1">
        <f>IF(B1306="North",28.6,
IF(B1306="South",13,
IF(B1306="East",22.6,
IF(B1306="West",19,
23.5))))</f>
        <v>19</v>
      </c>
      <c r="L1306" s="1">
        <f>IF(B1306="North",77.2,
IF(B1306="South",80.2,
IF(B1306="East",88.4,
IF(B1306="West",72.8,
78.9))))</f>
        <v>72.8</v>
      </c>
    </row>
    <row r="1307" spans="1:12" x14ac:dyDescent="0.25">
      <c r="A1307" s="5">
        <v>45344</v>
      </c>
      <c r="B1307" s="1" t="s">
        <v>12</v>
      </c>
      <c r="C1307" s="1" t="s">
        <v>24</v>
      </c>
      <c r="D1307" s="1" t="s">
        <v>30</v>
      </c>
      <c r="E1307" s="10">
        <v>18</v>
      </c>
      <c r="F1307" s="10">
        <v>834</v>
      </c>
      <c r="G1307" s="1" t="s">
        <v>35</v>
      </c>
      <c r="H1307" s="10">
        <f t="shared" si="41"/>
        <v>15012</v>
      </c>
      <c r="I1307" s="7">
        <v>11263.33168119203</v>
      </c>
      <c r="J1307" s="7">
        <f t="shared" si="42"/>
        <v>3748.6683188079696</v>
      </c>
      <c r="K1307" s="1">
        <f>IF(B1307="North",28.6,
IF(B1307="South",13,
IF(B1307="East",22.6,
IF(B1307="West",19,
23.5))))</f>
        <v>22.6</v>
      </c>
      <c r="L1307" s="1">
        <f>IF(B1307="North",77.2,
IF(B1307="South",80.2,
IF(B1307="East",88.4,
IF(B1307="West",72.8,
78.9))))</f>
        <v>88.4</v>
      </c>
    </row>
    <row r="1308" spans="1:12" x14ac:dyDescent="0.25">
      <c r="A1308" s="5">
        <v>45646</v>
      </c>
      <c r="B1308" s="1" t="s">
        <v>10</v>
      </c>
      <c r="C1308" s="1" t="s">
        <v>17</v>
      </c>
      <c r="D1308" s="1" t="s">
        <v>36</v>
      </c>
      <c r="E1308" s="10">
        <v>16</v>
      </c>
      <c r="F1308" s="10">
        <v>1658</v>
      </c>
      <c r="G1308" s="1" t="s">
        <v>33</v>
      </c>
      <c r="H1308" s="10">
        <f t="shared" si="41"/>
        <v>26528</v>
      </c>
      <c r="I1308" s="7">
        <v>18552.434373981941</v>
      </c>
      <c r="J1308" s="7">
        <f t="shared" si="42"/>
        <v>7975.5656260180585</v>
      </c>
      <c r="K1308" s="1">
        <f>IF(B1308="North",28.6,
IF(B1308="South",13,
IF(B1308="East",22.6,
IF(B1308="West",19,
23.5))))</f>
        <v>28.6</v>
      </c>
      <c r="L1308" s="1">
        <f>IF(B1308="North",77.2,
IF(B1308="South",80.2,
IF(B1308="East",88.4,
IF(B1308="West",72.8,
78.9))))</f>
        <v>77.2</v>
      </c>
    </row>
    <row r="1309" spans="1:12" x14ac:dyDescent="0.25">
      <c r="A1309" s="5">
        <v>45633</v>
      </c>
      <c r="B1309" s="1" t="s">
        <v>12</v>
      </c>
      <c r="C1309" s="1" t="s">
        <v>23</v>
      </c>
      <c r="D1309" s="1" t="s">
        <v>28</v>
      </c>
      <c r="E1309" s="10">
        <v>12</v>
      </c>
      <c r="F1309" s="10">
        <v>1619</v>
      </c>
      <c r="G1309" s="1" t="s">
        <v>34</v>
      </c>
      <c r="H1309" s="10">
        <f t="shared" si="41"/>
        <v>19428</v>
      </c>
      <c r="I1309" s="7">
        <v>17463.4692057842</v>
      </c>
      <c r="J1309" s="7">
        <f t="shared" si="42"/>
        <v>1964.5307942157997</v>
      </c>
      <c r="K1309" s="1">
        <f>IF(B1309="North",28.6,
IF(B1309="South",13,
IF(B1309="East",22.6,
IF(B1309="West",19,
23.5))))</f>
        <v>22.6</v>
      </c>
      <c r="L1309" s="1">
        <f>IF(B1309="North",77.2,
IF(B1309="South",80.2,
IF(B1309="East",88.4,
IF(B1309="West",72.8,
78.9))))</f>
        <v>88.4</v>
      </c>
    </row>
    <row r="1310" spans="1:12" x14ac:dyDescent="0.25">
      <c r="A1310" s="5">
        <v>45655</v>
      </c>
      <c r="B1310" s="1" t="s">
        <v>13</v>
      </c>
      <c r="C1310" s="1" t="s">
        <v>21</v>
      </c>
      <c r="D1310" s="1" t="s">
        <v>31</v>
      </c>
      <c r="E1310" s="10">
        <v>7</v>
      </c>
      <c r="F1310" s="10">
        <v>720</v>
      </c>
      <c r="G1310" s="1" t="s">
        <v>35</v>
      </c>
      <c r="H1310" s="10">
        <f t="shared" si="41"/>
        <v>5040</v>
      </c>
      <c r="I1310" s="7">
        <v>3561.7175825727222</v>
      </c>
      <c r="J1310" s="7">
        <f t="shared" si="42"/>
        <v>1478.2824174272778</v>
      </c>
      <c r="K1310" s="1">
        <f>IF(B1310="North",28.6,
IF(B1310="South",13,
IF(B1310="East",22.6,
IF(B1310="West",19,
23.5))))</f>
        <v>13</v>
      </c>
      <c r="L1310" s="1">
        <f>IF(B1310="North",77.2,
IF(B1310="South",80.2,
IF(B1310="East",88.4,
IF(B1310="West",72.8,
78.9))))</f>
        <v>80.2</v>
      </c>
    </row>
    <row r="1311" spans="1:12" x14ac:dyDescent="0.25">
      <c r="A1311" s="5">
        <v>45571</v>
      </c>
      <c r="B1311" s="1" t="s">
        <v>11</v>
      </c>
      <c r="C1311" s="1" t="s">
        <v>20</v>
      </c>
      <c r="D1311" s="1" t="s">
        <v>25</v>
      </c>
      <c r="E1311" s="10">
        <v>7</v>
      </c>
      <c r="F1311" s="10">
        <v>718</v>
      </c>
      <c r="G1311" s="1" t="s">
        <v>33</v>
      </c>
      <c r="H1311" s="10">
        <f t="shared" si="41"/>
        <v>5026</v>
      </c>
      <c r="I1311" s="7">
        <v>3661.847060261056</v>
      </c>
      <c r="J1311" s="7">
        <f t="shared" si="42"/>
        <v>1364.152939738944</v>
      </c>
      <c r="K1311" s="1">
        <f>IF(B1311="North",28.6,
IF(B1311="South",13,
IF(B1311="East",22.6,
IF(B1311="West",19,
23.5))))</f>
        <v>19</v>
      </c>
      <c r="L1311" s="1">
        <f>IF(B1311="North",77.2,
IF(B1311="South",80.2,
IF(B1311="East",88.4,
IF(B1311="West",72.8,
78.9))))</f>
        <v>72.8</v>
      </c>
    </row>
    <row r="1312" spans="1:12" x14ac:dyDescent="0.25">
      <c r="A1312" s="5">
        <v>45372</v>
      </c>
      <c r="B1312" s="1" t="s">
        <v>11</v>
      </c>
      <c r="C1312" s="1" t="s">
        <v>24</v>
      </c>
      <c r="D1312" s="1" t="s">
        <v>30</v>
      </c>
      <c r="E1312" s="10">
        <v>17</v>
      </c>
      <c r="F1312" s="10">
        <v>1780</v>
      </c>
      <c r="G1312" s="1" t="s">
        <v>35</v>
      </c>
      <c r="H1312" s="10">
        <f t="shared" si="41"/>
        <v>30260</v>
      </c>
      <c r="I1312" s="7">
        <v>25501.256951800729</v>
      </c>
      <c r="J1312" s="7">
        <f t="shared" si="42"/>
        <v>4758.7430481992706</v>
      </c>
      <c r="K1312" s="1">
        <f>IF(B1312="North",28.6,
IF(B1312="South",13,
IF(B1312="East",22.6,
IF(B1312="West",19,
23.5))))</f>
        <v>19</v>
      </c>
      <c r="L1312" s="1">
        <f>IF(B1312="North",77.2,
IF(B1312="South",80.2,
IF(B1312="East",88.4,
IF(B1312="West",72.8,
78.9))))</f>
        <v>72.8</v>
      </c>
    </row>
    <row r="1313" spans="1:12" x14ac:dyDescent="0.25">
      <c r="A1313" s="5">
        <v>45493</v>
      </c>
      <c r="B1313" s="1" t="s">
        <v>12</v>
      </c>
      <c r="C1313" s="1" t="s">
        <v>22</v>
      </c>
      <c r="D1313" s="1" t="s">
        <v>29</v>
      </c>
      <c r="E1313" s="10">
        <v>13</v>
      </c>
      <c r="F1313" s="10">
        <v>1492</v>
      </c>
      <c r="G1313" s="1" t="s">
        <v>35</v>
      </c>
      <c r="H1313" s="10">
        <f t="shared" si="41"/>
        <v>19396</v>
      </c>
      <c r="I1313" s="7">
        <v>12153.356517777131</v>
      </c>
      <c r="J1313" s="7">
        <f t="shared" si="42"/>
        <v>7242.6434822228694</v>
      </c>
      <c r="K1313" s="1">
        <f>IF(B1313="North",28.6,
IF(B1313="South",13,
IF(B1313="East",22.6,
IF(B1313="West",19,
23.5))))</f>
        <v>22.6</v>
      </c>
      <c r="L1313" s="1">
        <f>IF(B1313="North",77.2,
IF(B1313="South",80.2,
IF(B1313="East",88.4,
IF(B1313="West",72.8,
78.9))))</f>
        <v>88.4</v>
      </c>
    </row>
    <row r="1314" spans="1:12" x14ac:dyDescent="0.25">
      <c r="A1314" s="5">
        <v>45449</v>
      </c>
      <c r="B1314" s="1" t="s">
        <v>11</v>
      </c>
      <c r="C1314" s="1" t="s">
        <v>21</v>
      </c>
      <c r="D1314" s="1" t="s">
        <v>31</v>
      </c>
      <c r="E1314" s="10">
        <v>11</v>
      </c>
      <c r="F1314" s="10">
        <v>1989</v>
      </c>
      <c r="G1314" s="1" t="s">
        <v>35</v>
      </c>
      <c r="H1314" s="10">
        <f t="shared" si="41"/>
        <v>21879</v>
      </c>
      <c r="I1314" s="7">
        <v>15664.20510913627</v>
      </c>
      <c r="J1314" s="7">
        <f t="shared" si="42"/>
        <v>6214.79489086373</v>
      </c>
      <c r="K1314" s="1">
        <f>IF(B1314="North",28.6,
IF(B1314="South",13,
IF(B1314="East",22.6,
IF(B1314="West",19,
23.5))))</f>
        <v>19</v>
      </c>
      <c r="L1314" s="1">
        <f>IF(B1314="North",77.2,
IF(B1314="South",80.2,
IF(B1314="East",88.4,
IF(B1314="West",72.8,
78.9))))</f>
        <v>72.8</v>
      </c>
    </row>
    <row r="1315" spans="1:12" x14ac:dyDescent="0.25">
      <c r="A1315" s="5">
        <v>45411</v>
      </c>
      <c r="B1315" s="1" t="s">
        <v>13</v>
      </c>
      <c r="C1315" s="1" t="s">
        <v>20</v>
      </c>
      <c r="D1315" s="1" t="s">
        <v>26</v>
      </c>
      <c r="E1315" s="10">
        <v>6</v>
      </c>
      <c r="F1315" s="10">
        <v>1008</v>
      </c>
      <c r="G1315" s="1" t="s">
        <v>33</v>
      </c>
      <c r="H1315" s="10">
        <f t="shared" si="41"/>
        <v>6048</v>
      </c>
      <c r="I1315" s="7">
        <v>3784.312393534422</v>
      </c>
      <c r="J1315" s="7">
        <f t="shared" si="42"/>
        <v>2263.687606465578</v>
      </c>
      <c r="K1315" s="1">
        <f>IF(B1315="North",28.6,
IF(B1315="South",13,
IF(B1315="East",22.6,
IF(B1315="West",19,
23.5))))</f>
        <v>13</v>
      </c>
      <c r="L1315" s="1">
        <f>IF(B1315="North",77.2,
IF(B1315="South",80.2,
IF(B1315="East",88.4,
IF(B1315="West",72.8,
78.9))))</f>
        <v>80.2</v>
      </c>
    </row>
    <row r="1316" spans="1:12" x14ac:dyDescent="0.25">
      <c r="A1316" s="5">
        <v>45350</v>
      </c>
      <c r="B1316" s="1" t="s">
        <v>11</v>
      </c>
      <c r="C1316" s="1" t="s">
        <v>20</v>
      </c>
      <c r="D1316" s="1" t="s">
        <v>27</v>
      </c>
      <c r="E1316" s="10">
        <v>14</v>
      </c>
      <c r="F1316" s="10">
        <v>1774</v>
      </c>
      <c r="G1316" s="1" t="s">
        <v>33</v>
      </c>
      <c r="H1316" s="10">
        <f t="shared" si="41"/>
        <v>24836</v>
      </c>
      <c r="I1316" s="7">
        <v>15939.540151405379</v>
      </c>
      <c r="J1316" s="7">
        <f t="shared" si="42"/>
        <v>8896.4598485946208</v>
      </c>
      <c r="K1316" s="1">
        <f>IF(B1316="North",28.6,
IF(B1316="South",13,
IF(B1316="East",22.6,
IF(B1316="West",19,
23.5))))</f>
        <v>19</v>
      </c>
      <c r="L1316" s="1">
        <f>IF(B1316="North",77.2,
IF(B1316="South",80.2,
IF(B1316="East",88.4,
IF(B1316="West",72.8,
78.9))))</f>
        <v>72.8</v>
      </c>
    </row>
    <row r="1317" spans="1:12" x14ac:dyDescent="0.25">
      <c r="A1317" s="5">
        <v>45506</v>
      </c>
      <c r="B1317" s="1" t="s">
        <v>12</v>
      </c>
      <c r="C1317" s="1" t="s">
        <v>24</v>
      </c>
      <c r="D1317" s="1" t="s">
        <v>29</v>
      </c>
      <c r="E1317" s="10">
        <v>6</v>
      </c>
      <c r="F1317" s="10">
        <v>1919</v>
      </c>
      <c r="G1317" s="1" t="s">
        <v>35</v>
      </c>
      <c r="H1317" s="10">
        <f t="shared" si="41"/>
        <v>11514</v>
      </c>
      <c r="I1317" s="7">
        <v>6924.4303394352146</v>
      </c>
      <c r="J1317" s="7">
        <f t="shared" si="42"/>
        <v>4589.5696605647854</v>
      </c>
      <c r="K1317" s="1">
        <f>IF(B1317="North",28.6,
IF(B1317="South",13,
IF(B1317="East",22.6,
IF(B1317="West",19,
23.5))))</f>
        <v>22.6</v>
      </c>
      <c r="L1317" s="1">
        <f>IF(B1317="North",77.2,
IF(B1317="South",80.2,
IF(B1317="East",88.4,
IF(B1317="West",72.8,
78.9))))</f>
        <v>88.4</v>
      </c>
    </row>
    <row r="1318" spans="1:12" x14ac:dyDescent="0.25">
      <c r="A1318" s="5">
        <v>45419</v>
      </c>
      <c r="B1318" s="1" t="s">
        <v>13</v>
      </c>
      <c r="C1318" s="1" t="s">
        <v>20</v>
      </c>
      <c r="D1318" s="1" t="s">
        <v>27</v>
      </c>
      <c r="E1318" s="10">
        <v>6</v>
      </c>
      <c r="F1318" s="10">
        <v>1073.5</v>
      </c>
      <c r="G1318" s="1" t="s">
        <v>33</v>
      </c>
      <c r="H1318" s="10">
        <f t="shared" si="41"/>
        <v>6441</v>
      </c>
      <c r="I1318" s="7">
        <f>H1318*0.7</f>
        <v>4508.7</v>
      </c>
      <c r="J1318" s="7">
        <f t="shared" si="42"/>
        <v>1932.3000000000002</v>
      </c>
      <c r="K1318" s="1">
        <f>IF(B1318="North",28.6,
IF(B1318="South",13,
IF(B1318="East",22.6,
IF(B1318="West",19,
23.5))))</f>
        <v>13</v>
      </c>
      <c r="L1318" s="1">
        <f>IF(B1318="North",77.2,
IF(B1318="South",80.2,
IF(B1318="East",88.4,
IF(B1318="West",72.8,
78.9))))</f>
        <v>80.2</v>
      </c>
    </row>
    <row r="1319" spans="1:12" x14ac:dyDescent="0.25">
      <c r="A1319" s="5">
        <v>45515</v>
      </c>
      <c r="B1319" s="1" t="s">
        <v>12</v>
      </c>
      <c r="C1319" s="1" t="s">
        <v>24</v>
      </c>
      <c r="D1319" s="1" t="s">
        <v>27</v>
      </c>
      <c r="E1319" s="10">
        <v>2</v>
      </c>
      <c r="F1319" s="10">
        <v>1091</v>
      </c>
      <c r="G1319" s="1" t="s">
        <v>35</v>
      </c>
      <c r="H1319" s="10">
        <f t="shared" si="41"/>
        <v>2182</v>
      </c>
      <c r="I1319" s="7">
        <v>1558.1364524685671</v>
      </c>
      <c r="J1319" s="7">
        <f t="shared" si="42"/>
        <v>623.86354753143291</v>
      </c>
      <c r="K1319" s="1">
        <f>IF(B1319="North",28.6,
IF(B1319="South",13,
IF(B1319="East",22.6,
IF(B1319="West",19,
23.5))))</f>
        <v>22.6</v>
      </c>
      <c r="L1319" s="1">
        <f>IF(B1319="North",77.2,
IF(B1319="South",80.2,
IF(B1319="East",88.4,
IF(B1319="West",72.8,
78.9))))</f>
        <v>88.4</v>
      </c>
    </row>
    <row r="1320" spans="1:12" x14ac:dyDescent="0.25">
      <c r="A1320" s="5">
        <v>45500</v>
      </c>
      <c r="B1320" s="1" t="s">
        <v>11</v>
      </c>
      <c r="C1320" s="1" t="s">
        <v>23</v>
      </c>
      <c r="D1320" s="1" t="s">
        <v>25</v>
      </c>
      <c r="E1320" s="10">
        <v>15</v>
      </c>
      <c r="F1320" s="10">
        <v>198</v>
      </c>
      <c r="G1320" s="1" t="s">
        <v>34</v>
      </c>
      <c r="H1320" s="10">
        <f t="shared" si="41"/>
        <v>2970</v>
      </c>
      <c r="I1320" s="7">
        <v>2502.964950208469</v>
      </c>
      <c r="J1320" s="7">
        <f t="shared" si="42"/>
        <v>467.03504979153104</v>
      </c>
      <c r="K1320" s="1">
        <f>IF(B1320="North",28.6,
IF(B1320="South",13,
IF(B1320="East",22.6,
IF(B1320="West",19,
23.5))))</f>
        <v>19</v>
      </c>
      <c r="L1320" s="1">
        <f>IF(B1320="North",77.2,
IF(B1320="South",80.2,
IF(B1320="East",88.4,
IF(B1320="West",72.8,
78.9))))</f>
        <v>72.8</v>
      </c>
    </row>
    <row r="1321" spans="1:12" x14ac:dyDescent="0.25">
      <c r="A1321" s="5">
        <v>45406</v>
      </c>
      <c r="B1321" s="1" t="s">
        <v>12</v>
      </c>
      <c r="C1321" s="1" t="s">
        <v>19</v>
      </c>
      <c r="D1321" s="1" t="s">
        <v>31</v>
      </c>
      <c r="E1321" s="10">
        <v>17</v>
      </c>
      <c r="F1321" s="10">
        <v>416</v>
      </c>
      <c r="G1321" s="1" t="s">
        <v>35</v>
      </c>
      <c r="H1321" s="10">
        <f t="shared" si="41"/>
        <v>7072</v>
      </c>
      <c r="I1321" s="7">
        <v>5488.5884514313357</v>
      </c>
      <c r="J1321" s="7">
        <f t="shared" si="42"/>
        <v>1583.4115485686643</v>
      </c>
      <c r="K1321" s="1">
        <f>IF(B1321="North",28.6,
IF(B1321="South",13,
IF(B1321="East",22.6,
IF(B1321="West",19,
23.5))))</f>
        <v>22.6</v>
      </c>
      <c r="L1321" s="1">
        <f>IF(B1321="North",77.2,
IF(B1321="South",80.2,
IF(B1321="East",88.4,
IF(B1321="West",72.8,
78.9))))</f>
        <v>88.4</v>
      </c>
    </row>
    <row r="1322" spans="1:12" x14ac:dyDescent="0.25">
      <c r="A1322" s="5">
        <v>45500</v>
      </c>
      <c r="B1322" s="1" t="s">
        <v>12</v>
      </c>
      <c r="C1322" s="1" t="s">
        <v>21</v>
      </c>
      <c r="D1322" s="1" t="s">
        <v>31</v>
      </c>
      <c r="E1322" s="10">
        <v>8</v>
      </c>
      <c r="F1322" s="10">
        <v>222</v>
      </c>
      <c r="G1322" s="1" t="s">
        <v>35</v>
      </c>
      <c r="H1322" s="10">
        <f t="shared" si="41"/>
        <v>1776</v>
      </c>
      <c r="I1322" s="7">
        <v>1403.8822027165361</v>
      </c>
      <c r="J1322" s="7">
        <f t="shared" si="42"/>
        <v>372.11779728346391</v>
      </c>
      <c r="K1322" s="1">
        <f>IF(B1322="North",28.6,
IF(B1322="South",13,
IF(B1322="East",22.6,
IF(B1322="West",19,
23.5))))</f>
        <v>22.6</v>
      </c>
      <c r="L1322" s="1">
        <f>IF(B1322="North",77.2,
IF(B1322="South",80.2,
IF(B1322="East",88.4,
IF(B1322="West",72.8,
78.9))))</f>
        <v>88.4</v>
      </c>
    </row>
    <row r="1323" spans="1:12" x14ac:dyDescent="0.25">
      <c r="A1323" s="5">
        <v>45305</v>
      </c>
      <c r="B1323" s="1" t="s">
        <v>10</v>
      </c>
      <c r="C1323" s="1" t="s">
        <v>17</v>
      </c>
      <c r="D1323" s="1" t="s">
        <v>28</v>
      </c>
      <c r="E1323" s="10">
        <v>5</v>
      </c>
      <c r="F1323" s="10">
        <v>1443</v>
      </c>
      <c r="G1323" s="1" t="s">
        <v>33</v>
      </c>
      <c r="H1323" s="10">
        <f t="shared" si="41"/>
        <v>7215</v>
      </c>
      <c r="I1323" s="7">
        <v>5452.9149747524862</v>
      </c>
      <c r="J1323" s="7">
        <f t="shared" si="42"/>
        <v>1762.0850252475138</v>
      </c>
      <c r="K1323" s="1">
        <f>IF(B1323="North",28.6,
IF(B1323="South",13,
IF(B1323="East",22.6,
IF(B1323="West",19,
23.5))))</f>
        <v>28.6</v>
      </c>
      <c r="L1323" s="1">
        <f>IF(B1323="North",77.2,
IF(B1323="South",80.2,
IF(B1323="East",88.4,
IF(B1323="West",72.8,
78.9))))</f>
        <v>77.2</v>
      </c>
    </row>
    <row r="1324" spans="1:12" x14ac:dyDescent="0.25">
      <c r="A1324" s="5">
        <v>45300</v>
      </c>
      <c r="B1324" s="1" t="s">
        <v>11</v>
      </c>
      <c r="C1324" s="1" t="s">
        <v>19</v>
      </c>
      <c r="D1324" s="1" t="s">
        <v>27</v>
      </c>
      <c r="E1324" s="10">
        <v>17</v>
      </c>
      <c r="F1324" s="10">
        <v>898</v>
      </c>
      <c r="G1324" s="1" t="s">
        <v>35</v>
      </c>
      <c r="H1324" s="10">
        <f t="shared" si="41"/>
        <v>15266</v>
      </c>
      <c r="I1324" s="7">
        <v>12914.08864167233</v>
      </c>
      <c r="J1324" s="7">
        <f t="shared" si="42"/>
        <v>2351.9113583276703</v>
      </c>
      <c r="K1324" s="1">
        <f>IF(B1324="North",28.6,
IF(B1324="South",13,
IF(B1324="East",22.6,
IF(B1324="West",19,
23.5))))</f>
        <v>19</v>
      </c>
      <c r="L1324" s="1">
        <f>IF(B1324="North",77.2,
IF(B1324="South",80.2,
IF(B1324="East",88.4,
IF(B1324="West",72.8,
78.9))))</f>
        <v>72.8</v>
      </c>
    </row>
    <row r="1325" spans="1:12" x14ac:dyDescent="0.25">
      <c r="A1325" s="5">
        <v>45331</v>
      </c>
      <c r="B1325" s="1" t="s">
        <v>11</v>
      </c>
      <c r="C1325" s="1" t="s">
        <v>21</v>
      </c>
      <c r="D1325" s="1" t="s">
        <v>28</v>
      </c>
      <c r="E1325" s="10">
        <v>1</v>
      </c>
      <c r="F1325" s="10">
        <v>1716</v>
      </c>
      <c r="G1325" s="1" t="s">
        <v>35</v>
      </c>
      <c r="H1325" s="10">
        <f t="shared" si="41"/>
        <v>1716</v>
      </c>
      <c r="I1325" s="7">
        <v>1482.8189677258431</v>
      </c>
      <c r="J1325" s="7">
        <f t="shared" si="42"/>
        <v>233.18103227415691</v>
      </c>
      <c r="K1325" s="1">
        <f>IF(B1325="North",28.6,
IF(B1325="South",13,
IF(B1325="East",22.6,
IF(B1325="West",19,
23.5))))</f>
        <v>19</v>
      </c>
      <c r="L1325" s="1">
        <f>IF(B1325="North",77.2,
IF(B1325="South",80.2,
IF(B1325="East",88.4,
IF(B1325="West",72.8,
78.9))))</f>
        <v>72.8</v>
      </c>
    </row>
    <row r="1326" spans="1:12" x14ac:dyDescent="0.25">
      <c r="A1326" s="5">
        <v>45528</v>
      </c>
      <c r="B1326" s="1" t="s">
        <v>12</v>
      </c>
      <c r="C1326" s="1" t="s">
        <v>24</v>
      </c>
      <c r="D1326" s="1" t="s">
        <v>25</v>
      </c>
      <c r="E1326" s="10">
        <v>18</v>
      </c>
      <c r="F1326" s="10">
        <v>1618</v>
      </c>
      <c r="G1326" s="1" t="s">
        <v>35</v>
      </c>
      <c r="H1326" s="10">
        <f t="shared" si="41"/>
        <v>29124</v>
      </c>
      <c r="I1326" s="7">
        <v>24898.754689951769</v>
      </c>
      <c r="J1326" s="7">
        <f t="shared" si="42"/>
        <v>4225.2453100482307</v>
      </c>
      <c r="K1326" s="1">
        <f>IF(B1326="North",28.6,
IF(B1326="South",13,
IF(B1326="East",22.6,
IF(B1326="West",19,
23.5))))</f>
        <v>22.6</v>
      </c>
      <c r="L1326" s="1">
        <f>IF(B1326="North",77.2,
IF(B1326="South",80.2,
IF(B1326="East",88.4,
IF(B1326="West",72.8,
78.9))))</f>
        <v>88.4</v>
      </c>
    </row>
    <row r="1327" spans="1:12" x14ac:dyDescent="0.25">
      <c r="A1327" s="5">
        <v>45572</v>
      </c>
      <c r="B1327" s="1" t="s">
        <v>10</v>
      </c>
      <c r="C1327" s="1" t="s">
        <v>21</v>
      </c>
      <c r="D1327" s="1" t="s">
        <v>27</v>
      </c>
      <c r="E1327" s="10">
        <v>15</v>
      </c>
      <c r="F1327" s="10">
        <v>556</v>
      </c>
      <c r="G1327" s="1" t="s">
        <v>35</v>
      </c>
      <c r="H1327" s="10">
        <f t="shared" si="41"/>
        <v>8340</v>
      </c>
      <c r="I1327" s="7">
        <v>7035.9545287192041</v>
      </c>
      <c r="J1327" s="7">
        <f t="shared" si="42"/>
        <v>1304.0454712807959</v>
      </c>
      <c r="K1327" s="1">
        <f>IF(B1327="North",28.6,
IF(B1327="South",13,
IF(B1327="East",22.6,
IF(B1327="West",19,
23.5))))</f>
        <v>28.6</v>
      </c>
      <c r="L1327" s="1">
        <f>IF(B1327="North",77.2,
IF(B1327="South",80.2,
IF(B1327="East",88.4,
IF(B1327="West",72.8,
78.9))))</f>
        <v>77.2</v>
      </c>
    </row>
    <row r="1328" spans="1:12" x14ac:dyDescent="0.25">
      <c r="A1328" s="5">
        <v>45650</v>
      </c>
      <c r="B1328" s="1" t="s">
        <v>11</v>
      </c>
      <c r="C1328" s="1" t="s">
        <v>23</v>
      </c>
      <c r="D1328" s="1" t="s">
        <v>28</v>
      </c>
      <c r="E1328" s="10">
        <v>5</v>
      </c>
      <c r="F1328" s="10">
        <v>621</v>
      </c>
      <c r="G1328" s="1" t="s">
        <v>34</v>
      </c>
      <c r="H1328" s="10">
        <f t="shared" si="41"/>
        <v>3105</v>
      </c>
      <c r="I1328" s="7">
        <v>2033.1972280241989</v>
      </c>
      <c r="J1328" s="7">
        <f t="shared" si="42"/>
        <v>1071.8027719758011</v>
      </c>
      <c r="K1328" s="1">
        <f>IF(B1328="North",28.6,
IF(B1328="South",13,
IF(B1328="East",22.6,
IF(B1328="West",19,
23.5))))</f>
        <v>19</v>
      </c>
      <c r="L1328" s="1">
        <f>IF(B1328="North",77.2,
IF(B1328="South",80.2,
IF(B1328="East",88.4,
IF(B1328="West",72.8,
78.9))))</f>
        <v>72.8</v>
      </c>
    </row>
    <row r="1329" spans="1:12" x14ac:dyDescent="0.25">
      <c r="A1329" s="5">
        <v>45492</v>
      </c>
      <c r="B1329" s="1" t="s">
        <v>13</v>
      </c>
      <c r="C1329" s="1" t="s">
        <v>24</v>
      </c>
      <c r="D1329" s="1" t="s">
        <v>28</v>
      </c>
      <c r="E1329" s="10">
        <v>7</v>
      </c>
      <c r="F1329" s="10">
        <v>619</v>
      </c>
      <c r="G1329" s="1" t="s">
        <v>35</v>
      </c>
      <c r="H1329" s="10">
        <f t="shared" si="41"/>
        <v>4333</v>
      </c>
      <c r="I1329" s="7">
        <v>3371.7797053522509</v>
      </c>
      <c r="J1329" s="7">
        <f t="shared" si="42"/>
        <v>961.22029464774914</v>
      </c>
      <c r="K1329" s="1">
        <f>IF(B1329="North",28.6,
IF(B1329="South",13,
IF(B1329="East",22.6,
IF(B1329="West",19,
23.5))))</f>
        <v>13</v>
      </c>
      <c r="L1329" s="1">
        <f>IF(B1329="North",77.2,
IF(B1329="South",80.2,
IF(B1329="East",88.4,
IF(B1329="West",72.8,
78.9))))</f>
        <v>80.2</v>
      </c>
    </row>
    <row r="1330" spans="1:12" x14ac:dyDescent="0.25">
      <c r="A1330" s="5">
        <v>45537</v>
      </c>
      <c r="B1330" s="1" t="s">
        <v>12</v>
      </c>
      <c r="C1330" s="1" t="s">
        <v>19</v>
      </c>
      <c r="D1330" s="1" t="s">
        <v>26</v>
      </c>
      <c r="E1330" s="10">
        <v>18</v>
      </c>
      <c r="F1330" s="10">
        <v>1016</v>
      </c>
      <c r="G1330" s="1" t="s">
        <v>35</v>
      </c>
      <c r="H1330" s="10">
        <f t="shared" si="41"/>
        <v>18288</v>
      </c>
      <c r="I1330" s="7">
        <v>14166.7801590741</v>
      </c>
      <c r="J1330" s="7">
        <f t="shared" si="42"/>
        <v>4121.2198409258999</v>
      </c>
      <c r="K1330" s="1">
        <f>IF(B1330="North",28.6,
IF(B1330="South",13,
IF(B1330="East",22.6,
IF(B1330="West",19,
23.5))))</f>
        <v>22.6</v>
      </c>
      <c r="L1330" s="1">
        <f>IF(B1330="North",77.2,
IF(B1330="South",80.2,
IF(B1330="East",88.4,
IF(B1330="West",72.8,
78.9))))</f>
        <v>88.4</v>
      </c>
    </row>
    <row r="1331" spans="1:12" x14ac:dyDescent="0.25">
      <c r="A1331" s="5">
        <v>45569</v>
      </c>
      <c r="B1331" s="1" t="s">
        <v>11</v>
      </c>
      <c r="C1331" s="1" t="s">
        <v>22</v>
      </c>
      <c r="D1331" s="1" t="s">
        <v>28</v>
      </c>
      <c r="E1331" s="10">
        <v>6</v>
      </c>
      <c r="F1331" s="10">
        <v>816</v>
      </c>
      <c r="G1331" s="1" t="s">
        <v>35</v>
      </c>
      <c r="H1331" s="10">
        <f t="shared" si="41"/>
        <v>4896</v>
      </c>
      <c r="I1331" s="7">
        <v>3713.044152704535</v>
      </c>
      <c r="J1331" s="7">
        <f t="shared" si="42"/>
        <v>1182.955847295465</v>
      </c>
      <c r="K1331" s="1">
        <f>IF(B1331="North",28.6,
IF(B1331="South",13,
IF(B1331="East",22.6,
IF(B1331="West",19,
23.5))))</f>
        <v>19</v>
      </c>
      <c r="L1331" s="1">
        <f>IF(B1331="North",77.2,
IF(B1331="South",80.2,
IF(B1331="East",88.4,
IF(B1331="West",72.8,
78.9))))</f>
        <v>72.8</v>
      </c>
    </row>
    <row r="1332" spans="1:12" x14ac:dyDescent="0.25">
      <c r="A1332" s="5">
        <v>45526</v>
      </c>
      <c r="B1332" s="1" t="s">
        <v>13</v>
      </c>
      <c r="C1332" s="1" t="s">
        <v>22</v>
      </c>
      <c r="D1332" s="1" t="s">
        <v>31</v>
      </c>
      <c r="E1332" s="10">
        <v>5</v>
      </c>
      <c r="F1332" s="10">
        <v>414</v>
      </c>
      <c r="G1332" s="1" t="s">
        <v>35</v>
      </c>
      <c r="H1332" s="10">
        <f t="shared" si="41"/>
        <v>2070</v>
      </c>
      <c r="I1332" s="7">
        <v>1540.5847421532919</v>
      </c>
      <c r="J1332" s="7">
        <f t="shared" si="42"/>
        <v>529.41525784670807</v>
      </c>
      <c r="K1332" s="1">
        <f>IF(B1332="North",28.6,
IF(B1332="South",13,
IF(B1332="East",22.6,
IF(B1332="West",19,
23.5))))</f>
        <v>13</v>
      </c>
      <c r="L1332" s="1">
        <f>IF(B1332="North",77.2,
IF(B1332="South",80.2,
IF(B1332="East",88.4,
IF(B1332="West",72.8,
78.9))))</f>
        <v>80.2</v>
      </c>
    </row>
    <row r="1333" spans="1:12" x14ac:dyDescent="0.25">
      <c r="A1333" s="5">
        <v>45295</v>
      </c>
      <c r="B1333" s="1" t="s">
        <v>11</v>
      </c>
      <c r="C1333" s="1" t="s">
        <v>18</v>
      </c>
      <c r="D1333" s="1" t="s">
        <v>28</v>
      </c>
      <c r="E1333" s="10">
        <v>19</v>
      </c>
      <c r="F1333" s="10">
        <v>808</v>
      </c>
      <c r="G1333" s="1" t="s">
        <v>34</v>
      </c>
      <c r="H1333" s="10">
        <f t="shared" si="41"/>
        <v>15352</v>
      </c>
      <c r="I1333" s="7">
        <v>9621.8835497296077</v>
      </c>
      <c r="J1333" s="7">
        <f t="shared" si="42"/>
        <v>5730.1164502703923</v>
      </c>
      <c r="K1333" s="1">
        <f>IF(B1333="North",28.6,
IF(B1333="South",13,
IF(B1333="East",22.6,
IF(B1333="West",19,
23.5))))</f>
        <v>19</v>
      </c>
      <c r="L1333" s="1">
        <f>IF(B1333="North",77.2,
IF(B1333="South",80.2,
IF(B1333="East",88.4,
IF(B1333="West",72.8,
78.9))))</f>
        <v>72.8</v>
      </c>
    </row>
    <row r="1334" spans="1:12" x14ac:dyDescent="0.25">
      <c r="A1334" s="5">
        <v>45445</v>
      </c>
      <c r="B1334" s="1" t="s">
        <v>13</v>
      </c>
      <c r="C1334" s="1" t="s">
        <v>18</v>
      </c>
      <c r="D1334" s="1" t="s">
        <v>27</v>
      </c>
      <c r="E1334" s="10">
        <v>10</v>
      </c>
      <c r="F1334" s="10">
        <v>809</v>
      </c>
      <c r="G1334" s="1" t="s">
        <v>34</v>
      </c>
      <c r="H1334" s="10">
        <f t="shared" si="41"/>
        <v>8090</v>
      </c>
      <c r="I1334" s="7">
        <v>5101.9501686903996</v>
      </c>
      <c r="J1334" s="7">
        <f t="shared" si="42"/>
        <v>2988.0498313096004</v>
      </c>
      <c r="K1334" s="1">
        <f>IF(B1334="North",28.6,
IF(B1334="South",13,
IF(B1334="East",22.6,
IF(B1334="West",19,
23.5))))</f>
        <v>13</v>
      </c>
      <c r="L1334" s="1">
        <f>IF(B1334="North",77.2,
IF(B1334="South",80.2,
IF(B1334="East",88.4,
IF(B1334="West",72.8,
78.9))))</f>
        <v>80.2</v>
      </c>
    </row>
    <row r="1335" spans="1:12" x14ac:dyDescent="0.25">
      <c r="A1335" s="5">
        <v>45320</v>
      </c>
      <c r="B1335" s="1" t="s">
        <v>12</v>
      </c>
      <c r="C1335" s="1" t="s">
        <v>21</v>
      </c>
      <c r="D1335" s="1" t="s">
        <v>28</v>
      </c>
      <c r="E1335" s="10">
        <v>15</v>
      </c>
      <c r="F1335" s="10">
        <v>1665</v>
      </c>
      <c r="G1335" s="1" t="s">
        <v>35</v>
      </c>
      <c r="H1335" s="10">
        <f t="shared" si="41"/>
        <v>24975</v>
      </c>
      <c r="I1335" s="7">
        <v>21745.344666526369</v>
      </c>
      <c r="J1335" s="7">
        <f t="shared" si="42"/>
        <v>3229.6553334736309</v>
      </c>
      <c r="K1335" s="1">
        <f>IF(B1335="North",28.6,
IF(B1335="South",13,
IF(B1335="East",22.6,
IF(B1335="West",19,
23.5))))</f>
        <v>22.6</v>
      </c>
      <c r="L1335" s="1">
        <f>IF(B1335="North",77.2,
IF(B1335="South",80.2,
IF(B1335="East",88.4,
IF(B1335="West",72.8,
78.9))))</f>
        <v>88.4</v>
      </c>
    </row>
    <row r="1336" spans="1:12" x14ac:dyDescent="0.25">
      <c r="A1336" s="5">
        <v>45400</v>
      </c>
      <c r="B1336" s="1" t="s">
        <v>11</v>
      </c>
      <c r="C1336" s="1" t="s">
        <v>22</v>
      </c>
      <c r="D1336" s="1" t="s">
        <v>30</v>
      </c>
      <c r="E1336" s="10">
        <v>10</v>
      </c>
      <c r="F1336" s="10">
        <v>1602</v>
      </c>
      <c r="G1336" s="1" t="s">
        <v>35</v>
      </c>
      <c r="H1336" s="10">
        <f t="shared" si="41"/>
        <v>16020</v>
      </c>
      <c r="I1336" s="7">
        <v>12640.67602641648</v>
      </c>
      <c r="J1336" s="7">
        <f t="shared" si="42"/>
        <v>3379.3239735835195</v>
      </c>
      <c r="K1336" s="1">
        <f>IF(B1336="North",28.6,
IF(B1336="South",13,
IF(B1336="East",22.6,
IF(B1336="West",19,
23.5))))</f>
        <v>19</v>
      </c>
      <c r="L1336" s="1">
        <f>IF(B1336="North",77.2,
IF(B1336="South",80.2,
IF(B1336="East",88.4,
IF(B1336="West",72.8,
78.9))))</f>
        <v>72.8</v>
      </c>
    </row>
    <row r="1337" spans="1:12" x14ac:dyDescent="0.25">
      <c r="A1337" s="5">
        <v>45389</v>
      </c>
      <c r="B1337" s="1" t="s">
        <v>11</v>
      </c>
      <c r="C1337" s="1" t="s">
        <v>24</v>
      </c>
      <c r="D1337" s="1" t="s">
        <v>32</v>
      </c>
      <c r="E1337" s="10">
        <v>16</v>
      </c>
      <c r="F1337" s="10">
        <v>1143</v>
      </c>
      <c r="G1337" s="1" t="s">
        <v>35</v>
      </c>
      <c r="H1337" s="10">
        <f t="shared" si="41"/>
        <v>18288</v>
      </c>
      <c r="I1337" s="7">
        <v>12411.97716562186</v>
      </c>
      <c r="J1337" s="7">
        <f t="shared" si="42"/>
        <v>5876.02283437814</v>
      </c>
      <c r="K1337" s="1">
        <f>IF(B1337="North",28.6,
IF(B1337="South",13,
IF(B1337="East",22.6,
IF(B1337="West",19,
23.5))))</f>
        <v>19</v>
      </c>
      <c r="L1337" s="1">
        <f>IF(B1337="North",77.2,
IF(B1337="South",80.2,
IF(B1337="East",88.4,
IF(B1337="West",72.8,
78.9))))</f>
        <v>72.8</v>
      </c>
    </row>
    <row r="1338" spans="1:12" x14ac:dyDescent="0.25">
      <c r="A1338" s="5">
        <v>45506</v>
      </c>
      <c r="B1338" s="1" t="s">
        <v>10</v>
      </c>
      <c r="C1338" s="1" t="s">
        <v>20</v>
      </c>
      <c r="D1338" s="1" t="s">
        <v>27</v>
      </c>
      <c r="E1338" s="10">
        <v>12</v>
      </c>
      <c r="F1338" s="10">
        <v>659</v>
      </c>
      <c r="G1338" s="1" t="s">
        <v>33</v>
      </c>
      <c r="H1338" s="10">
        <f t="shared" si="41"/>
        <v>7908</v>
      </c>
      <c r="I1338" s="7">
        <v>5407.412243370004</v>
      </c>
      <c r="J1338" s="7">
        <f t="shared" si="42"/>
        <v>2500.587756629996</v>
      </c>
      <c r="K1338" s="1">
        <f>IF(B1338="North",28.6,
IF(B1338="South",13,
IF(B1338="East",22.6,
IF(B1338="West",19,
23.5))))</f>
        <v>28.6</v>
      </c>
      <c r="L1338" s="1">
        <f>IF(B1338="North",77.2,
IF(B1338="South",80.2,
IF(B1338="East",88.4,
IF(B1338="West",72.8,
78.9))))</f>
        <v>77.2</v>
      </c>
    </row>
    <row r="1339" spans="1:12" x14ac:dyDescent="0.25">
      <c r="A1339" s="5">
        <v>45584</v>
      </c>
      <c r="B1339" s="1" t="s">
        <v>12</v>
      </c>
      <c r="C1339" s="1" t="s">
        <v>24</v>
      </c>
      <c r="D1339" s="1" t="s">
        <v>30</v>
      </c>
      <c r="E1339" s="10">
        <v>18</v>
      </c>
      <c r="F1339" s="10">
        <v>1068</v>
      </c>
      <c r="G1339" s="1" t="s">
        <v>35</v>
      </c>
      <c r="H1339" s="10">
        <f t="shared" si="41"/>
        <v>19224</v>
      </c>
      <c r="I1339" s="7">
        <v>15053.51563308398</v>
      </c>
      <c r="J1339" s="7">
        <f t="shared" si="42"/>
        <v>4170.48436691602</v>
      </c>
      <c r="K1339" s="1">
        <f>IF(B1339="North",28.6,
IF(B1339="South",13,
IF(B1339="East",22.6,
IF(B1339="West",19,
23.5))))</f>
        <v>22.6</v>
      </c>
      <c r="L1339" s="1">
        <f>IF(B1339="North",77.2,
IF(B1339="South",80.2,
IF(B1339="East",88.4,
IF(B1339="West",72.8,
78.9))))</f>
        <v>88.4</v>
      </c>
    </row>
    <row r="1340" spans="1:12" x14ac:dyDescent="0.25">
      <c r="A1340" s="5">
        <v>45366</v>
      </c>
      <c r="B1340" s="1" t="s">
        <v>13</v>
      </c>
      <c r="C1340" s="1" t="s">
        <v>20</v>
      </c>
      <c r="D1340" s="1" t="s">
        <v>25</v>
      </c>
      <c r="E1340" s="10">
        <v>1</v>
      </c>
      <c r="F1340" s="10">
        <v>1253</v>
      </c>
      <c r="G1340" s="1" t="s">
        <v>33</v>
      </c>
      <c r="H1340" s="10">
        <f t="shared" si="41"/>
        <v>1253</v>
      </c>
      <c r="I1340" s="7">
        <v>904.76685696554534</v>
      </c>
      <c r="J1340" s="7">
        <f t="shared" si="42"/>
        <v>348.23314303445466</v>
      </c>
      <c r="K1340" s="1">
        <f>IF(B1340="North",28.6,
IF(B1340="South",13,
IF(B1340="East",22.6,
IF(B1340="West",19,
23.5))))</f>
        <v>13</v>
      </c>
      <c r="L1340" s="1">
        <f>IF(B1340="North",77.2,
IF(B1340="South",80.2,
IF(B1340="East",88.4,
IF(B1340="West",72.8,
78.9))))</f>
        <v>80.2</v>
      </c>
    </row>
    <row r="1341" spans="1:12" x14ac:dyDescent="0.25">
      <c r="A1341" s="5">
        <v>45617</v>
      </c>
      <c r="B1341" s="1" t="s">
        <v>11</v>
      </c>
      <c r="C1341" s="1" t="s">
        <v>19</v>
      </c>
      <c r="D1341" s="1" t="s">
        <v>27</v>
      </c>
      <c r="E1341" s="10">
        <v>16</v>
      </c>
      <c r="F1341" s="10">
        <v>1416</v>
      </c>
      <c r="G1341" s="1" t="s">
        <v>35</v>
      </c>
      <c r="H1341" s="10">
        <f t="shared" si="41"/>
        <v>22656</v>
      </c>
      <c r="I1341" s="7">
        <v>16593.192125351488</v>
      </c>
      <c r="J1341" s="7">
        <f t="shared" si="42"/>
        <v>6062.8078746485116</v>
      </c>
      <c r="K1341" s="1">
        <f>IF(B1341="North",28.6,
IF(B1341="South",13,
IF(B1341="East",22.6,
IF(B1341="West",19,
23.5))))</f>
        <v>19</v>
      </c>
      <c r="L1341" s="1">
        <f>IF(B1341="North",77.2,
IF(B1341="South",80.2,
IF(B1341="East",88.4,
IF(B1341="West",72.8,
78.9))))</f>
        <v>72.8</v>
      </c>
    </row>
    <row r="1342" spans="1:12" x14ac:dyDescent="0.25">
      <c r="A1342" s="5">
        <v>45437</v>
      </c>
      <c r="B1342" s="1" t="s">
        <v>11</v>
      </c>
      <c r="C1342" s="1" t="s">
        <v>17</v>
      </c>
      <c r="D1342" s="1" t="s">
        <v>31</v>
      </c>
      <c r="E1342" s="10">
        <v>6</v>
      </c>
      <c r="F1342" s="10">
        <v>1255</v>
      </c>
      <c r="G1342" s="1" t="s">
        <v>33</v>
      </c>
      <c r="H1342" s="10">
        <f t="shared" si="41"/>
        <v>7530</v>
      </c>
      <c r="I1342" s="7">
        <v>4655.0083286149938</v>
      </c>
      <c r="J1342" s="7">
        <f t="shared" si="42"/>
        <v>2874.9916713850062</v>
      </c>
      <c r="K1342" s="1">
        <f>IF(B1342="North",28.6,
IF(B1342="South",13,
IF(B1342="East",22.6,
IF(B1342="West",19,
23.5))))</f>
        <v>19</v>
      </c>
      <c r="L1342" s="1">
        <f>IF(B1342="North",77.2,
IF(B1342="South",80.2,
IF(B1342="East",88.4,
IF(B1342="West",72.8,
78.9))))</f>
        <v>72.8</v>
      </c>
    </row>
    <row r="1343" spans="1:12" x14ac:dyDescent="0.25">
      <c r="A1343" s="5">
        <v>45419</v>
      </c>
      <c r="B1343" s="1" t="s">
        <v>13</v>
      </c>
      <c r="C1343" s="1" t="s">
        <v>20</v>
      </c>
      <c r="D1343" s="1" t="s">
        <v>32</v>
      </c>
      <c r="E1343" s="10">
        <v>3</v>
      </c>
      <c r="F1343" s="10">
        <v>455</v>
      </c>
      <c r="G1343" s="1" t="s">
        <v>33</v>
      </c>
      <c r="H1343" s="10">
        <f t="shared" si="41"/>
        <v>1365</v>
      </c>
      <c r="I1343" s="7">
        <v>875.81369712144044</v>
      </c>
      <c r="J1343" s="7">
        <f t="shared" si="42"/>
        <v>489.18630287855956</v>
      </c>
      <c r="K1343" s="1">
        <f>IF(B1343="North",28.6,
IF(B1343="South",13,
IF(B1343="East",22.6,
IF(B1343="West",19,
23.5))))</f>
        <v>13</v>
      </c>
      <c r="L1343" s="1">
        <f>IF(B1343="North",77.2,
IF(B1343="South",80.2,
IF(B1343="East",88.4,
IF(B1343="West",72.8,
78.9))))</f>
        <v>80.2</v>
      </c>
    </row>
    <row r="1344" spans="1:12" x14ac:dyDescent="0.25">
      <c r="A1344" s="5">
        <v>45632</v>
      </c>
      <c r="B1344" s="1" t="s">
        <v>12</v>
      </c>
      <c r="C1344" s="1" t="s">
        <v>22</v>
      </c>
      <c r="D1344" s="1" t="s">
        <v>32</v>
      </c>
      <c r="E1344" s="10">
        <v>2</v>
      </c>
      <c r="F1344" s="10">
        <v>1177</v>
      </c>
      <c r="G1344" s="1" t="s">
        <v>35</v>
      </c>
      <c r="H1344" s="10">
        <f t="shared" si="41"/>
        <v>2354</v>
      </c>
      <c r="I1344" s="7">
        <v>1690.1840712392579</v>
      </c>
      <c r="J1344" s="7">
        <f t="shared" si="42"/>
        <v>663.81592876074205</v>
      </c>
      <c r="K1344" s="1">
        <f>IF(B1344="North",28.6,
IF(B1344="South",13,
IF(B1344="East",22.6,
IF(B1344="West",19,
23.5))))</f>
        <v>22.6</v>
      </c>
      <c r="L1344" s="1">
        <f>IF(B1344="North",77.2,
IF(B1344="South",80.2,
IF(B1344="East",88.4,
IF(B1344="West",72.8,
78.9))))</f>
        <v>88.4</v>
      </c>
    </row>
    <row r="1345" spans="1:12" x14ac:dyDescent="0.25">
      <c r="A1345" s="5">
        <v>45333</v>
      </c>
      <c r="B1345" s="1" t="s">
        <v>10</v>
      </c>
      <c r="C1345" s="1" t="s">
        <v>24</v>
      </c>
      <c r="D1345" s="1" t="s">
        <v>31</v>
      </c>
      <c r="E1345" s="10">
        <v>2</v>
      </c>
      <c r="F1345" s="10">
        <v>989</v>
      </c>
      <c r="G1345" s="1" t="s">
        <v>35</v>
      </c>
      <c r="H1345" s="10">
        <f t="shared" si="41"/>
        <v>1978</v>
      </c>
      <c r="I1345" s="7">
        <v>1601.9939215892921</v>
      </c>
      <c r="J1345" s="7">
        <f t="shared" si="42"/>
        <v>376.00607841070791</v>
      </c>
      <c r="K1345" s="1">
        <f>IF(B1345="North",28.6,
IF(B1345="South",13,
IF(B1345="East",22.6,
IF(B1345="West",19,
23.5))))</f>
        <v>28.6</v>
      </c>
      <c r="L1345" s="1">
        <f>IF(B1345="North",77.2,
IF(B1345="South",80.2,
IF(B1345="East",88.4,
IF(B1345="West",72.8,
78.9))))</f>
        <v>77.2</v>
      </c>
    </row>
    <row r="1346" spans="1:12" x14ac:dyDescent="0.25">
      <c r="A1346" s="5">
        <v>45647</v>
      </c>
      <c r="B1346" s="1" t="s">
        <v>10</v>
      </c>
      <c r="C1346" s="1" t="s">
        <v>19</v>
      </c>
      <c r="D1346" s="1" t="s">
        <v>32</v>
      </c>
      <c r="E1346" s="10">
        <v>13</v>
      </c>
      <c r="F1346" s="10">
        <v>892</v>
      </c>
      <c r="G1346" s="1" t="s">
        <v>35</v>
      </c>
      <c r="H1346" s="10">
        <f t="shared" si="41"/>
        <v>11596</v>
      </c>
      <c r="I1346" s="7">
        <v>7124.6707183825783</v>
      </c>
      <c r="J1346" s="7">
        <f t="shared" si="42"/>
        <v>4471.3292816174217</v>
      </c>
      <c r="K1346" s="1">
        <f>IF(B1346="North",28.6,
IF(B1346="South",13,
IF(B1346="East",22.6,
IF(B1346="West",19,
23.5))))</f>
        <v>28.6</v>
      </c>
      <c r="L1346" s="1">
        <f>IF(B1346="North",77.2,
IF(B1346="South",80.2,
IF(B1346="East",88.4,
IF(B1346="West",72.8,
78.9))))</f>
        <v>77.2</v>
      </c>
    </row>
    <row r="1347" spans="1:12" x14ac:dyDescent="0.25">
      <c r="A1347" s="5">
        <v>45332</v>
      </c>
      <c r="B1347" s="1" t="s">
        <v>11</v>
      </c>
      <c r="C1347" s="1" t="s">
        <v>22</v>
      </c>
      <c r="D1347" s="1" t="s">
        <v>31</v>
      </c>
      <c r="E1347" s="10">
        <v>9</v>
      </c>
      <c r="F1347" s="10">
        <v>1510</v>
      </c>
      <c r="G1347" s="1" t="s">
        <v>35</v>
      </c>
      <c r="H1347" s="10">
        <f t="shared" ref="H1347:H1410" si="43">E1347*F1347</f>
        <v>13590</v>
      </c>
      <c r="I1347" s="7">
        <v>9517.9921213723264</v>
      </c>
      <c r="J1347" s="7">
        <f t="shared" ref="J1347:J1410" si="44">H1347-I1347</f>
        <v>4072.0078786276736</v>
      </c>
      <c r="K1347" s="1">
        <f>IF(B1347="North",28.6,
IF(B1347="South",13,
IF(B1347="East",22.6,
IF(B1347="West",19,
23.5))))</f>
        <v>19</v>
      </c>
      <c r="L1347" s="1">
        <f>IF(B1347="North",77.2,
IF(B1347="South",80.2,
IF(B1347="East",88.4,
IF(B1347="West",72.8,
78.9))))</f>
        <v>72.8</v>
      </c>
    </row>
    <row r="1348" spans="1:12" x14ac:dyDescent="0.25">
      <c r="A1348" s="5">
        <v>45325</v>
      </c>
      <c r="B1348" s="1" t="s">
        <v>13</v>
      </c>
      <c r="C1348" s="1" t="s">
        <v>19</v>
      </c>
      <c r="D1348" s="1" t="s">
        <v>30</v>
      </c>
      <c r="E1348" s="10">
        <v>16</v>
      </c>
      <c r="F1348" s="10">
        <v>364</v>
      </c>
      <c r="G1348" s="1" t="s">
        <v>35</v>
      </c>
      <c r="H1348" s="10">
        <f t="shared" si="43"/>
        <v>5824</v>
      </c>
      <c r="I1348" s="7">
        <v>4708.829714419986</v>
      </c>
      <c r="J1348" s="7">
        <f t="shared" si="44"/>
        <v>1115.170285580014</v>
      </c>
      <c r="K1348" s="1">
        <f>IF(B1348="North",28.6,
IF(B1348="South",13,
IF(B1348="East",22.6,
IF(B1348="West",19,
23.5))))</f>
        <v>13</v>
      </c>
      <c r="L1348" s="1">
        <f>IF(B1348="North",77.2,
IF(B1348="South",80.2,
IF(B1348="East",88.4,
IF(B1348="West",72.8,
78.9))))</f>
        <v>80.2</v>
      </c>
    </row>
    <row r="1349" spans="1:12" x14ac:dyDescent="0.25">
      <c r="A1349" s="5">
        <v>45308</v>
      </c>
      <c r="B1349" s="1" t="s">
        <v>11</v>
      </c>
      <c r="C1349" s="1" t="s">
        <v>17</v>
      </c>
      <c r="D1349" s="1" t="s">
        <v>25</v>
      </c>
      <c r="E1349" s="10">
        <v>5</v>
      </c>
      <c r="F1349" s="10">
        <v>1081</v>
      </c>
      <c r="G1349" s="1" t="s">
        <v>33</v>
      </c>
      <c r="H1349" s="10">
        <f t="shared" si="43"/>
        <v>5405</v>
      </c>
      <c r="I1349" s="7">
        <v>4527.3103567151466</v>
      </c>
      <c r="J1349" s="7">
        <f t="shared" si="44"/>
        <v>877.68964328485345</v>
      </c>
      <c r="K1349" s="1">
        <f>IF(B1349="North",28.6,
IF(B1349="South",13,
IF(B1349="East",22.6,
IF(B1349="West",19,
23.5))))</f>
        <v>19</v>
      </c>
      <c r="L1349" s="1">
        <f>IF(B1349="North",77.2,
IF(B1349="South",80.2,
IF(B1349="East",88.4,
IF(B1349="West",72.8,
78.9))))</f>
        <v>72.8</v>
      </c>
    </row>
    <row r="1350" spans="1:12" x14ac:dyDescent="0.25">
      <c r="A1350" s="5">
        <v>45456</v>
      </c>
      <c r="B1350" s="1" t="s">
        <v>13</v>
      </c>
      <c r="C1350" s="1" t="s">
        <v>23</v>
      </c>
      <c r="D1350" s="1" t="s">
        <v>26</v>
      </c>
      <c r="E1350" s="10">
        <v>7</v>
      </c>
      <c r="F1350" s="10">
        <v>1338</v>
      </c>
      <c r="G1350" s="1" t="s">
        <v>34</v>
      </c>
      <c r="H1350" s="10">
        <f t="shared" si="43"/>
        <v>9366</v>
      </c>
      <c r="I1350" s="7">
        <v>6154.0821343670113</v>
      </c>
      <c r="J1350" s="7">
        <f t="shared" si="44"/>
        <v>3211.9178656329887</v>
      </c>
      <c r="K1350" s="1">
        <f>IF(B1350="North",28.6,
IF(B1350="South",13,
IF(B1350="East",22.6,
IF(B1350="West",19,
23.5))))</f>
        <v>13</v>
      </c>
      <c r="L1350" s="1">
        <f>IF(B1350="North",77.2,
IF(B1350="South",80.2,
IF(B1350="East",88.4,
IF(B1350="West",72.8,
78.9))))</f>
        <v>80.2</v>
      </c>
    </row>
    <row r="1351" spans="1:12" x14ac:dyDescent="0.25">
      <c r="A1351" s="5">
        <v>45444</v>
      </c>
      <c r="B1351" s="1" t="s">
        <v>10</v>
      </c>
      <c r="C1351" s="1" t="s">
        <v>24</v>
      </c>
      <c r="D1351" s="1" t="s">
        <v>27</v>
      </c>
      <c r="E1351" s="10">
        <v>13</v>
      </c>
      <c r="F1351" s="10">
        <v>1583</v>
      </c>
      <c r="G1351" s="1" t="s">
        <v>35</v>
      </c>
      <c r="H1351" s="10">
        <f t="shared" si="43"/>
        <v>20579</v>
      </c>
      <c r="I1351" s="7">
        <v>16863.38210617064</v>
      </c>
      <c r="J1351" s="7">
        <f t="shared" si="44"/>
        <v>3715.6178938293597</v>
      </c>
      <c r="K1351" s="1">
        <f>IF(B1351="North",28.6,
IF(B1351="South",13,
IF(B1351="East",22.6,
IF(B1351="West",19,
23.5))))</f>
        <v>28.6</v>
      </c>
      <c r="L1351" s="1">
        <f>IF(B1351="North",77.2,
IF(B1351="South",80.2,
IF(B1351="East",88.4,
IF(B1351="West",72.8,
78.9))))</f>
        <v>77.2</v>
      </c>
    </row>
    <row r="1352" spans="1:12" x14ac:dyDescent="0.25">
      <c r="A1352" s="5">
        <v>45367</v>
      </c>
      <c r="B1352" s="1" t="s">
        <v>12</v>
      </c>
      <c r="C1352" s="1" t="s">
        <v>21</v>
      </c>
      <c r="D1352" s="1" t="s">
        <v>31</v>
      </c>
      <c r="E1352" s="10">
        <v>13</v>
      </c>
      <c r="F1352" s="10">
        <v>1581</v>
      </c>
      <c r="G1352" s="1" t="s">
        <v>35</v>
      </c>
      <c r="H1352" s="10">
        <f t="shared" si="43"/>
        <v>20553</v>
      </c>
      <c r="I1352" s="7">
        <v>18222.77296452189</v>
      </c>
      <c r="J1352" s="7">
        <f t="shared" si="44"/>
        <v>2330.2270354781103</v>
      </c>
      <c r="K1352" s="1">
        <f>IF(B1352="North",28.6,
IF(B1352="South",13,
IF(B1352="East",22.6,
IF(B1352="West",19,
23.5))))</f>
        <v>22.6</v>
      </c>
      <c r="L1352" s="1">
        <f>IF(B1352="North",77.2,
IF(B1352="South",80.2,
IF(B1352="East",88.4,
IF(B1352="West",72.8,
78.9))))</f>
        <v>88.4</v>
      </c>
    </row>
    <row r="1353" spans="1:12" x14ac:dyDescent="0.25">
      <c r="A1353" s="5">
        <v>45378</v>
      </c>
      <c r="B1353" s="1" t="s">
        <v>13</v>
      </c>
      <c r="C1353" s="1" t="s">
        <v>24</v>
      </c>
      <c r="D1353" s="1" t="s">
        <v>27</v>
      </c>
      <c r="E1353" s="10">
        <v>7</v>
      </c>
      <c r="F1353" s="10">
        <v>901</v>
      </c>
      <c r="G1353" s="1" t="s">
        <v>35</v>
      </c>
      <c r="H1353" s="10">
        <f t="shared" si="43"/>
        <v>6307</v>
      </c>
      <c r="I1353" s="7">
        <v>5499.9792691974899</v>
      </c>
      <c r="J1353" s="7">
        <f t="shared" si="44"/>
        <v>807.02073080251012</v>
      </c>
      <c r="K1353" s="1">
        <f>IF(B1353="North",28.6,
IF(B1353="South",13,
IF(B1353="East",22.6,
IF(B1353="West",19,
23.5))))</f>
        <v>13</v>
      </c>
      <c r="L1353" s="1">
        <f>IF(B1353="North",77.2,
IF(B1353="South",80.2,
IF(B1353="East",88.4,
IF(B1353="West",72.8,
78.9))))</f>
        <v>80.2</v>
      </c>
    </row>
    <row r="1354" spans="1:12" x14ac:dyDescent="0.25">
      <c r="A1354" s="5">
        <v>45408</v>
      </c>
      <c r="B1354" s="1" t="s">
        <v>10</v>
      </c>
      <c r="C1354" s="1" t="s">
        <v>18</v>
      </c>
      <c r="D1354" s="1" t="s">
        <v>25</v>
      </c>
      <c r="E1354" s="10">
        <v>10</v>
      </c>
      <c r="F1354" s="10">
        <v>142</v>
      </c>
      <c r="G1354" s="1" t="s">
        <v>34</v>
      </c>
      <c r="H1354" s="10">
        <f t="shared" si="43"/>
        <v>1420</v>
      </c>
      <c r="I1354" s="7">
        <v>1188.2742089628191</v>
      </c>
      <c r="J1354" s="7">
        <f t="shared" si="44"/>
        <v>231.7257910371809</v>
      </c>
      <c r="K1354" s="1">
        <f>IF(B1354="North",28.6,
IF(B1354="South",13,
IF(B1354="East",22.6,
IF(B1354="West",19,
23.5))))</f>
        <v>28.6</v>
      </c>
      <c r="L1354" s="1">
        <f>IF(B1354="North",77.2,
IF(B1354="South",80.2,
IF(B1354="East",88.4,
IF(B1354="West",72.8,
78.9))))</f>
        <v>77.2</v>
      </c>
    </row>
    <row r="1355" spans="1:12" x14ac:dyDescent="0.25">
      <c r="A1355" s="5">
        <v>45653</v>
      </c>
      <c r="B1355" s="1" t="s">
        <v>11</v>
      </c>
      <c r="C1355" s="1" t="s">
        <v>17</v>
      </c>
      <c r="D1355" s="1" t="s">
        <v>30</v>
      </c>
      <c r="E1355" s="10">
        <v>15</v>
      </c>
      <c r="F1355" s="10">
        <v>1709</v>
      </c>
      <c r="G1355" s="1" t="s">
        <v>33</v>
      </c>
      <c r="H1355" s="10">
        <f t="shared" si="43"/>
        <v>25635</v>
      </c>
      <c r="I1355" s="7">
        <v>20859.148379000912</v>
      </c>
      <c r="J1355" s="7">
        <f t="shared" si="44"/>
        <v>4775.8516209990885</v>
      </c>
      <c r="K1355" s="1">
        <f>IF(B1355="North",28.6,
IF(B1355="South",13,
IF(B1355="East",22.6,
IF(B1355="West",19,
23.5))))</f>
        <v>19</v>
      </c>
      <c r="L1355" s="1">
        <f>IF(B1355="North",77.2,
IF(B1355="South",80.2,
IF(B1355="East",88.4,
IF(B1355="West",72.8,
78.9))))</f>
        <v>72.8</v>
      </c>
    </row>
    <row r="1356" spans="1:12" x14ac:dyDescent="0.25">
      <c r="A1356" s="5">
        <v>45633</v>
      </c>
      <c r="B1356" s="1" t="s">
        <v>13</v>
      </c>
      <c r="C1356" s="1" t="s">
        <v>24</v>
      </c>
      <c r="D1356" s="1" t="s">
        <v>26</v>
      </c>
      <c r="E1356" s="10">
        <v>6</v>
      </c>
      <c r="F1356" s="10">
        <v>961</v>
      </c>
      <c r="G1356" s="1" t="s">
        <v>35</v>
      </c>
      <c r="H1356" s="10">
        <f t="shared" si="43"/>
        <v>5766</v>
      </c>
      <c r="I1356" s="7">
        <v>3866.3422452125992</v>
      </c>
      <c r="J1356" s="7">
        <f t="shared" si="44"/>
        <v>1899.6577547874008</v>
      </c>
      <c r="K1356" s="1">
        <f>IF(B1356="North",28.6,
IF(B1356="South",13,
IF(B1356="East",22.6,
IF(B1356="West",19,
23.5))))</f>
        <v>13</v>
      </c>
      <c r="L1356" s="1">
        <f>IF(B1356="North",77.2,
IF(B1356="South",80.2,
IF(B1356="East",88.4,
IF(B1356="West",72.8,
78.9))))</f>
        <v>80.2</v>
      </c>
    </row>
    <row r="1357" spans="1:12" x14ac:dyDescent="0.25">
      <c r="A1357" s="5">
        <v>45318</v>
      </c>
      <c r="B1357" s="1" t="s">
        <v>12</v>
      </c>
      <c r="C1357" s="1" t="s">
        <v>18</v>
      </c>
      <c r="D1357" s="1" t="s">
        <v>25</v>
      </c>
      <c r="E1357" s="10">
        <v>5</v>
      </c>
      <c r="F1357" s="10">
        <v>1401</v>
      </c>
      <c r="G1357" s="1" t="s">
        <v>34</v>
      </c>
      <c r="H1357" s="10">
        <f t="shared" si="43"/>
        <v>7005</v>
      </c>
      <c r="I1357" s="7">
        <v>5535.1476316416074</v>
      </c>
      <c r="J1357" s="7">
        <f t="shared" si="44"/>
        <v>1469.8523683583926</v>
      </c>
      <c r="K1357" s="1">
        <f>IF(B1357="North",28.6,
IF(B1357="South",13,
IF(B1357="East",22.6,
IF(B1357="West",19,
23.5))))</f>
        <v>22.6</v>
      </c>
      <c r="L1357" s="1">
        <f>IF(B1357="North",77.2,
IF(B1357="South",80.2,
IF(B1357="East",88.4,
IF(B1357="West",72.8,
78.9))))</f>
        <v>88.4</v>
      </c>
    </row>
    <row r="1358" spans="1:12" x14ac:dyDescent="0.25">
      <c r="A1358" s="5">
        <v>45604</v>
      </c>
      <c r="B1358" s="1" t="s">
        <v>11</v>
      </c>
      <c r="C1358" s="1" t="s">
        <v>21</v>
      </c>
      <c r="D1358" s="1" t="s">
        <v>30</v>
      </c>
      <c r="E1358" s="10">
        <v>2</v>
      </c>
      <c r="F1358" s="10">
        <v>1961</v>
      </c>
      <c r="G1358" s="1" t="s">
        <v>35</v>
      </c>
      <c r="H1358" s="10">
        <f t="shared" si="43"/>
        <v>3922</v>
      </c>
      <c r="I1358" s="7">
        <v>3110.0761811171942</v>
      </c>
      <c r="J1358" s="7">
        <f t="shared" si="44"/>
        <v>811.92381888280579</v>
      </c>
      <c r="K1358" s="1">
        <f>IF(B1358="North",28.6,
IF(B1358="South",13,
IF(B1358="East",22.6,
IF(B1358="West",19,
23.5))))</f>
        <v>19</v>
      </c>
      <c r="L1358" s="1">
        <f>IF(B1358="North",77.2,
IF(B1358="South",80.2,
IF(B1358="East",88.4,
IF(B1358="West",72.8,
78.9))))</f>
        <v>72.8</v>
      </c>
    </row>
    <row r="1359" spans="1:12" x14ac:dyDescent="0.25">
      <c r="A1359" s="5">
        <v>45578</v>
      </c>
      <c r="B1359" s="1" t="s">
        <v>11</v>
      </c>
      <c r="C1359" s="1" t="s">
        <v>20</v>
      </c>
      <c r="D1359" s="1" t="s">
        <v>32</v>
      </c>
      <c r="E1359" s="10">
        <v>15</v>
      </c>
      <c r="F1359" s="10">
        <v>1877</v>
      </c>
      <c r="G1359" s="1" t="s">
        <v>33</v>
      </c>
      <c r="H1359" s="10">
        <f t="shared" si="43"/>
        <v>28155</v>
      </c>
      <c r="I1359" s="7">
        <v>20329.216381520891</v>
      </c>
      <c r="J1359" s="7">
        <f t="shared" si="44"/>
        <v>7825.7836184791086</v>
      </c>
      <c r="K1359" s="1">
        <f>IF(B1359="North",28.6,
IF(B1359="South",13,
IF(B1359="East",22.6,
IF(B1359="West",19,
23.5))))</f>
        <v>19</v>
      </c>
      <c r="L1359" s="1">
        <f>IF(B1359="North",77.2,
IF(B1359="South",80.2,
IF(B1359="East",88.4,
IF(B1359="West",72.8,
78.9))))</f>
        <v>72.8</v>
      </c>
    </row>
    <row r="1360" spans="1:12" x14ac:dyDescent="0.25">
      <c r="A1360" s="5">
        <v>45425</v>
      </c>
      <c r="B1360" s="1" t="s">
        <v>10</v>
      </c>
      <c r="C1360" s="1" t="s">
        <v>19</v>
      </c>
      <c r="D1360" s="1" t="s">
        <v>27</v>
      </c>
      <c r="E1360" s="10">
        <v>16</v>
      </c>
      <c r="F1360" s="10">
        <v>1253</v>
      </c>
      <c r="G1360" s="1" t="s">
        <v>35</v>
      </c>
      <c r="H1360" s="10">
        <f t="shared" si="43"/>
        <v>20048</v>
      </c>
      <c r="I1360" s="7">
        <v>14993.992192854121</v>
      </c>
      <c r="J1360" s="7">
        <f t="shared" si="44"/>
        <v>5054.0078071458793</v>
      </c>
      <c r="K1360" s="1">
        <f>IF(B1360="North",28.6,
IF(B1360="South",13,
IF(B1360="East",22.6,
IF(B1360="West",19,
23.5))))</f>
        <v>28.6</v>
      </c>
      <c r="L1360" s="1">
        <f>IF(B1360="North",77.2,
IF(B1360="South",80.2,
IF(B1360="East",88.4,
IF(B1360="West",72.8,
78.9))))</f>
        <v>77.2</v>
      </c>
    </row>
    <row r="1361" spans="1:12" x14ac:dyDescent="0.25">
      <c r="A1361" s="5">
        <v>45510</v>
      </c>
      <c r="B1361" s="1" t="s">
        <v>13</v>
      </c>
      <c r="C1361" s="1" t="s">
        <v>21</v>
      </c>
      <c r="D1361" s="1" t="s">
        <v>29</v>
      </c>
      <c r="E1361" s="10">
        <v>19</v>
      </c>
      <c r="F1361" s="10">
        <v>449</v>
      </c>
      <c r="G1361" s="1" t="s">
        <v>35</v>
      </c>
      <c r="H1361" s="10">
        <f t="shared" si="43"/>
        <v>8531</v>
      </c>
      <c r="I1361" s="7">
        <v>6894.8271097855268</v>
      </c>
      <c r="J1361" s="7">
        <f t="shared" si="44"/>
        <v>1636.1728902144732</v>
      </c>
      <c r="K1361" s="1">
        <f>IF(B1361="North",28.6,
IF(B1361="South",13,
IF(B1361="East",22.6,
IF(B1361="West",19,
23.5))))</f>
        <v>13</v>
      </c>
      <c r="L1361" s="1">
        <f>IF(B1361="North",77.2,
IF(B1361="South",80.2,
IF(B1361="East",88.4,
IF(B1361="West",72.8,
78.9))))</f>
        <v>80.2</v>
      </c>
    </row>
    <row r="1362" spans="1:12" x14ac:dyDescent="0.25">
      <c r="A1362" s="5">
        <v>45459</v>
      </c>
      <c r="B1362" s="1" t="s">
        <v>11</v>
      </c>
      <c r="C1362" s="1" t="s">
        <v>22</v>
      </c>
      <c r="D1362" s="1" t="s">
        <v>26</v>
      </c>
      <c r="E1362" s="10">
        <v>9</v>
      </c>
      <c r="F1362" s="10">
        <v>1829</v>
      </c>
      <c r="G1362" s="1" t="s">
        <v>35</v>
      </c>
      <c r="H1362" s="10">
        <f t="shared" si="43"/>
        <v>16461</v>
      </c>
      <c r="I1362" s="7">
        <v>14578.36301379878</v>
      </c>
      <c r="J1362" s="7">
        <f t="shared" si="44"/>
        <v>1882.6369862012198</v>
      </c>
      <c r="K1362" s="1">
        <f>IF(B1362="North",28.6,
IF(B1362="South",13,
IF(B1362="East",22.6,
IF(B1362="West",19,
23.5))))</f>
        <v>19</v>
      </c>
      <c r="L1362" s="1">
        <f>IF(B1362="North",77.2,
IF(B1362="South",80.2,
IF(B1362="East",88.4,
IF(B1362="West",72.8,
78.9))))</f>
        <v>72.8</v>
      </c>
    </row>
    <row r="1363" spans="1:12" x14ac:dyDescent="0.25">
      <c r="A1363" s="5">
        <v>45389</v>
      </c>
      <c r="B1363" s="1" t="s">
        <v>12</v>
      </c>
      <c r="C1363" s="1" t="s">
        <v>17</v>
      </c>
      <c r="D1363" s="1" t="s">
        <v>32</v>
      </c>
      <c r="E1363" s="10">
        <v>19</v>
      </c>
      <c r="F1363" s="10">
        <v>1667</v>
      </c>
      <c r="G1363" s="1" t="s">
        <v>33</v>
      </c>
      <c r="H1363" s="10">
        <f t="shared" si="43"/>
        <v>31673</v>
      </c>
      <c r="I1363" s="7">
        <v>21809.770061985841</v>
      </c>
      <c r="J1363" s="7">
        <f t="shared" si="44"/>
        <v>9863.2299380141594</v>
      </c>
      <c r="K1363" s="1">
        <f>IF(B1363="North",28.6,
IF(B1363="South",13,
IF(B1363="East",22.6,
IF(B1363="West",19,
23.5))))</f>
        <v>22.6</v>
      </c>
      <c r="L1363" s="1">
        <f>IF(B1363="North",77.2,
IF(B1363="South",80.2,
IF(B1363="East",88.4,
IF(B1363="West",72.8,
78.9))))</f>
        <v>88.4</v>
      </c>
    </row>
    <row r="1364" spans="1:12" x14ac:dyDescent="0.25">
      <c r="A1364" s="5">
        <v>45559</v>
      </c>
      <c r="B1364" s="1" t="s">
        <v>13</v>
      </c>
      <c r="C1364" s="1" t="s">
        <v>20</v>
      </c>
      <c r="D1364" s="1" t="s">
        <v>25</v>
      </c>
      <c r="E1364" s="10">
        <v>7</v>
      </c>
      <c r="F1364" s="10">
        <v>1229</v>
      </c>
      <c r="G1364" s="1" t="s">
        <v>33</v>
      </c>
      <c r="H1364" s="10">
        <f t="shared" si="43"/>
        <v>8603</v>
      </c>
      <c r="I1364" s="7">
        <v>5797.6386588869555</v>
      </c>
      <c r="J1364" s="7">
        <f t="shared" si="44"/>
        <v>2805.3613411130445</v>
      </c>
      <c r="K1364" s="1">
        <f>IF(B1364="North",28.6,
IF(B1364="South",13,
IF(B1364="East",22.6,
IF(B1364="West",19,
23.5))))</f>
        <v>13</v>
      </c>
      <c r="L1364" s="1">
        <f>IF(B1364="North",77.2,
IF(B1364="South",80.2,
IF(B1364="East",88.4,
IF(B1364="West",72.8,
78.9))))</f>
        <v>80.2</v>
      </c>
    </row>
    <row r="1365" spans="1:12" x14ac:dyDescent="0.25">
      <c r="A1365" s="5">
        <v>45528</v>
      </c>
      <c r="B1365" s="1" t="s">
        <v>12</v>
      </c>
      <c r="C1365" s="1" t="s">
        <v>22</v>
      </c>
      <c r="D1365" s="1" t="s">
        <v>26</v>
      </c>
      <c r="E1365" s="10">
        <v>4</v>
      </c>
      <c r="F1365" s="10">
        <v>1011</v>
      </c>
      <c r="G1365" s="1" t="s">
        <v>35</v>
      </c>
      <c r="H1365" s="10">
        <f t="shared" si="43"/>
        <v>4044</v>
      </c>
      <c r="I1365" s="7">
        <v>3156.512121736991</v>
      </c>
      <c r="J1365" s="7">
        <f t="shared" si="44"/>
        <v>887.48787826300895</v>
      </c>
      <c r="K1365" s="1">
        <f>IF(B1365="North",28.6,
IF(B1365="South",13,
IF(B1365="East",22.6,
IF(B1365="West",19,
23.5))))</f>
        <v>22.6</v>
      </c>
      <c r="L1365" s="1">
        <f>IF(B1365="North",77.2,
IF(B1365="South",80.2,
IF(B1365="East",88.4,
IF(B1365="West",72.8,
78.9))))</f>
        <v>88.4</v>
      </c>
    </row>
    <row r="1366" spans="1:12" x14ac:dyDescent="0.25">
      <c r="A1366" s="5">
        <v>45600</v>
      </c>
      <c r="B1366" s="1" t="s">
        <v>11</v>
      </c>
      <c r="C1366" s="1" t="s">
        <v>22</v>
      </c>
      <c r="D1366" s="1" t="s">
        <v>32</v>
      </c>
      <c r="E1366" s="10">
        <v>3</v>
      </c>
      <c r="F1366" s="10">
        <v>1839</v>
      </c>
      <c r="G1366" s="1" t="s">
        <v>35</v>
      </c>
      <c r="H1366" s="10">
        <f t="shared" si="43"/>
        <v>5517</v>
      </c>
      <c r="I1366" s="7">
        <v>3526.685609346594</v>
      </c>
      <c r="J1366" s="7">
        <f t="shared" si="44"/>
        <v>1990.314390653406</v>
      </c>
      <c r="K1366" s="1">
        <f>IF(B1366="North",28.6,
IF(B1366="South",13,
IF(B1366="East",22.6,
IF(B1366="West",19,
23.5))))</f>
        <v>19</v>
      </c>
      <c r="L1366" s="1">
        <f>IF(B1366="North",77.2,
IF(B1366="South",80.2,
IF(B1366="East",88.4,
IF(B1366="West",72.8,
78.9))))</f>
        <v>72.8</v>
      </c>
    </row>
    <row r="1367" spans="1:12" x14ac:dyDescent="0.25">
      <c r="A1367" s="5">
        <v>45464</v>
      </c>
      <c r="B1367" s="1" t="s">
        <v>12</v>
      </c>
      <c r="C1367" s="1" t="s">
        <v>17</v>
      </c>
      <c r="D1367" s="1" t="s">
        <v>30</v>
      </c>
      <c r="E1367" s="10">
        <v>11</v>
      </c>
      <c r="F1367" s="10">
        <v>100</v>
      </c>
      <c r="G1367" s="1" t="s">
        <v>33</v>
      </c>
      <c r="H1367" s="10">
        <f t="shared" si="43"/>
        <v>1100</v>
      </c>
      <c r="I1367" s="7">
        <v>852.23583406097862</v>
      </c>
      <c r="J1367" s="7">
        <f t="shared" si="44"/>
        <v>247.76416593902138</v>
      </c>
      <c r="K1367" s="1">
        <f>IF(B1367="North",28.6,
IF(B1367="South",13,
IF(B1367="East",22.6,
IF(B1367="West",19,
23.5))))</f>
        <v>22.6</v>
      </c>
      <c r="L1367" s="1">
        <f>IF(B1367="North",77.2,
IF(B1367="South",80.2,
IF(B1367="East",88.4,
IF(B1367="West",72.8,
78.9))))</f>
        <v>88.4</v>
      </c>
    </row>
    <row r="1368" spans="1:12" x14ac:dyDescent="0.25">
      <c r="A1368" s="5">
        <v>45481</v>
      </c>
      <c r="B1368" s="1" t="s">
        <v>10</v>
      </c>
      <c r="C1368" s="1" t="s">
        <v>20</v>
      </c>
      <c r="D1368" s="1" t="s">
        <v>31</v>
      </c>
      <c r="E1368" s="10">
        <v>1</v>
      </c>
      <c r="F1368" s="10">
        <v>1880</v>
      </c>
      <c r="G1368" s="1" t="s">
        <v>33</v>
      </c>
      <c r="H1368" s="10">
        <f t="shared" si="43"/>
        <v>1880</v>
      </c>
      <c r="I1368" s="7">
        <v>1178.112237580287</v>
      </c>
      <c r="J1368" s="7">
        <f t="shared" si="44"/>
        <v>701.887762419713</v>
      </c>
      <c r="K1368" s="1">
        <f>IF(B1368="North",28.6,
IF(B1368="South",13,
IF(B1368="East",22.6,
IF(B1368="West",19,
23.5))))</f>
        <v>28.6</v>
      </c>
      <c r="L1368" s="1">
        <f>IF(B1368="North",77.2,
IF(B1368="South",80.2,
IF(B1368="East",88.4,
IF(B1368="West",72.8,
78.9))))</f>
        <v>77.2</v>
      </c>
    </row>
    <row r="1369" spans="1:12" x14ac:dyDescent="0.25">
      <c r="A1369" s="5">
        <v>45413</v>
      </c>
      <c r="B1369" s="1" t="s">
        <v>12</v>
      </c>
      <c r="C1369" s="1" t="s">
        <v>23</v>
      </c>
      <c r="D1369" s="1" t="s">
        <v>27</v>
      </c>
      <c r="E1369" s="10">
        <v>6</v>
      </c>
      <c r="F1369" s="10">
        <v>683</v>
      </c>
      <c r="G1369" s="1" t="s">
        <v>34</v>
      </c>
      <c r="H1369" s="10">
        <f t="shared" si="43"/>
        <v>4098</v>
      </c>
      <c r="I1369" s="7">
        <v>3061.9238215857831</v>
      </c>
      <c r="J1369" s="7">
        <f t="shared" si="44"/>
        <v>1036.0761784142169</v>
      </c>
      <c r="K1369" s="1">
        <f>IF(B1369="North",28.6,
IF(B1369="South",13,
IF(B1369="East",22.6,
IF(B1369="West",19,
23.5))))</f>
        <v>22.6</v>
      </c>
      <c r="L1369" s="1">
        <f>IF(B1369="North",77.2,
IF(B1369="South",80.2,
IF(B1369="East",88.4,
IF(B1369="West",72.8,
78.9))))</f>
        <v>88.4</v>
      </c>
    </row>
    <row r="1370" spans="1:12" x14ac:dyDescent="0.25">
      <c r="A1370" s="5">
        <v>45337</v>
      </c>
      <c r="B1370" s="1" t="s">
        <v>13</v>
      </c>
      <c r="C1370" s="1" t="s">
        <v>22</v>
      </c>
      <c r="D1370" s="1" t="s">
        <v>28</v>
      </c>
      <c r="E1370" s="10">
        <v>11</v>
      </c>
      <c r="F1370" s="10">
        <v>531</v>
      </c>
      <c r="G1370" s="1" t="s">
        <v>35</v>
      </c>
      <c r="H1370" s="10">
        <f t="shared" si="43"/>
        <v>5841</v>
      </c>
      <c r="I1370" s="7">
        <v>4591.752108810525</v>
      </c>
      <c r="J1370" s="7">
        <f t="shared" si="44"/>
        <v>1249.247891189475</v>
      </c>
      <c r="K1370" s="1">
        <f>IF(B1370="North",28.6,
IF(B1370="South",13,
IF(B1370="East",22.6,
IF(B1370="West",19,
23.5))))</f>
        <v>13</v>
      </c>
      <c r="L1370" s="1">
        <f>IF(B1370="North",77.2,
IF(B1370="South",80.2,
IF(B1370="East",88.4,
IF(B1370="West",72.8,
78.9))))</f>
        <v>80.2</v>
      </c>
    </row>
    <row r="1371" spans="1:12" x14ac:dyDescent="0.25">
      <c r="A1371" s="5">
        <v>45355</v>
      </c>
      <c r="B1371" s="1" t="s">
        <v>12</v>
      </c>
      <c r="C1371" s="1" t="s">
        <v>22</v>
      </c>
      <c r="D1371" s="1" t="s">
        <v>28</v>
      </c>
      <c r="E1371" s="10">
        <v>1</v>
      </c>
      <c r="F1371" s="10">
        <v>1429</v>
      </c>
      <c r="G1371" s="1" t="s">
        <v>35</v>
      </c>
      <c r="H1371" s="10">
        <f t="shared" si="43"/>
        <v>1429</v>
      </c>
      <c r="I1371" s="7">
        <v>887.45600235626728</v>
      </c>
      <c r="J1371" s="7">
        <f t="shared" si="44"/>
        <v>541.54399764373272</v>
      </c>
      <c r="K1371" s="1">
        <f>IF(B1371="North",28.6,
IF(B1371="South",13,
IF(B1371="East",22.6,
IF(B1371="West",19,
23.5))))</f>
        <v>22.6</v>
      </c>
      <c r="L1371" s="1">
        <f>IF(B1371="North",77.2,
IF(B1371="South",80.2,
IF(B1371="East",88.4,
IF(B1371="West",72.8,
78.9))))</f>
        <v>88.4</v>
      </c>
    </row>
    <row r="1372" spans="1:12" x14ac:dyDescent="0.25">
      <c r="A1372" s="5">
        <v>45421</v>
      </c>
      <c r="B1372" s="1" t="s">
        <v>12</v>
      </c>
      <c r="C1372" s="1" t="s">
        <v>20</v>
      </c>
      <c r="D1372" s="1" t="s">
        <v>30</v>
      </c>
      <c r="E1372" s="10">
        <v>7</v>
      </c>
      <c r="F1372" s="10">
        <v>1650</v>
      </c>
      <c r="G1372" s="1" t="s">
        <v>33</v>
      </c>
      <c r="H1372" s="10">
        <f t="shared" si="43"/>
        <v>11550</v>
      </c>
      <c r="I1372" s="7">
        <v>7647.0926715019996</v>
      </c>
      <c r="J1372" s="7">
        <f t="shared" si="44"/>
        <v>3902.9073284980004</v>
      </c>
      <c r="K1372" s="1">
        <f>IF(B1372="North",28.6,
IF(B1372="South",13,
IF(B1372="East",22.6,
IF(B1372="West",19,
23.5))))</f>
        <v>22.6</v>
      </c>
      <c r="L1372" s="1">
        <f>IF(B1372="North",77.2,
IF(B1372="South",80.2,
IF(B1372="East",88.4,
IF(B1372="West",72.8,
78.9))))</f>
        <v>88.4</v>
      </c>
    </row>
    <row r="1373" spans="1:12" x14ac:dyDescent="0.25">
      <c r="A1373" s="5">
        <v>45601</v>
      </c>
      <c r="B1373" s="1" t="s">
        <v>10</v>
      </c>
      <c r="C1373" s="1" t="s">
        <v>24</v>
      </c>
      <c r="D1373" s="1" t="s">
        <v>25</v>
      </c>
      <c r="E1373" s="10">
        <v>6</v>
      </c>
      <c r="F1373" s="10">
        <v>152</v>
      </c>
      <c r="G1373" s="1" t="s">
        <v>35</v>
      </c>
      <c r="H1373" s="10">
        <f t="shared" si="43"/>
        <v>912</v>
      </c>
      <c r="I1373" s="7">
        <v>638.95840434303796</v>
      </c>
      <c r="J1373" s="7">
        <f t="shared" si="44"/>
        <v>273.04159565696204</v>
      </c>
      <c r="K1373" s="1">
        <f>IF(B1373="North",28.6,
IF(B1373="South",13,
IF(B1373="East",22.6,
IF(B1373="West",19,
23.5))))</f>
        <v>28.6</v>
      </c>
      <c r="L1373" s="1">
        <f>IF(B1373="North",77.2,
IF(B1373="South",80.2,
IF(B1373="East",88.4,
IF(B1373="West",72.8,
78.9))))</f>
        <v>77.2</v>
      </c>
    </row>
    <row r="1374" spans="1:12" x14ac:dyDescent="0.25">
      <c r="A1374" s="5">
        <v>45654</v>
      </c>
      <c r="B1374" s="1" t="s">
        <v>12</v>
      </c>
      <c r="C1374" s="1" t="s">
        <v>22</v>
      </c>
      <c r="D1374" s="1" t="s">
        <v>27</v>
      </c>
      <c r="E1374" s="10">
        <v>14</v>
      </c>
      <c r="F1374" s="10">
        <v>1039</v>
      </c>
      <c r="G1374" s="1" t="s">
        <v>35</v>
      </c>
      <c r="H1374" s="10">
        <f t="shared" si="43"/>
        <v>14546</v>
      </c>
      <c r="I1374" s="7">
        <v>10336.090986053359</v>
      </c>
      <c r="J1374" s="7">
        <f t="shared" si="44"/>
        <v>4209.9090139466407</v>
      </c>
      <c r="K1374" s="1">
        <f>IF(B1374="North",28.6,
IF(B1374="South",13,
IF(B1374="East",22.6,
IF(B1374="West",19,
23.5))))</f>
        <v>22.6</v>
      </c>
      <c r="L1374" s="1">
        <f>IF(B1374="North",77.2,
IF(B1374="South",80.2,
IF(B1374="East",88.4,
IF(B1374="West",72.8,
78.9))))</f>
        <v>88.4</v>
      </c>
    </row>
    <row r="1375" spans="1:12" x14ac:dyDescent="0.25">
      <c r="A1375" s="5">
        <v>45484</v>
      </c>
      <c r="B1375" s="1" t="s">
        <v>12</v>
      </c>
      <c r="C1375" s="1" t="s">
        <v>19</v>
      </c>
      <c r="D1375" s="1" t="s">
        <v>25</v>
      </c>
      <c r="E1375" s="10">
        <v>2</v>
      </c>
      <c r="F1375" s="10">
        <v>619</v>
      </c>
      <c r="G1375" s="1" t="s">
        <v>35</v>
      </c>
      <c r="H1375" s="10">
        <f t="shared" si="43"/>
        <v>1238</v>
      </c>
      <c r="I1375" s="7">
        <v>993.90526450459436</v>
      </c>
      <c r="J1375" s="7">
        <f t="shared" si="44"/>
        <v>244.09473549540564</v>
      </c>
      <c r="K1375" s="1">
        <f>IF(B1375="North",28.6,
IF(B1375="South",13,
IF(B1375="East",22.6,
IF(B1375="West",19,
23.5))))</f>
        <v>22.6</v>
      </c>
      <c r="L1375" s="1">
        <f>IF(B1375="North",77.2,
IF(B1375="South",80.2,
IF(B1375="East",88.4,
IF(B1375="West",72.8,
78.9))))</f>
        <v>88.4</v>
      </c>
    </row>
    <row r="1376" spans="1:12" x14ac:dyDescent="0.25">
      <c r="A1376" s="5">
        <v>45598</v>
      </c>
      <c r="B1376" s="1" t="s">
        <v>11</v>
      </c>
      <c r="C1376" s="1" t="s">
        <v>20</v>
      </c>
      <c r="D1376" s="1" t="s">
        <v>27</v>
      </c>
      <c r="E1376" s="10">
        <v>4</v>
      </c>
      <c r="F1376" s="10">
        <v>1453</v>
      </c>
      <c r="G1376" s="1" t="s">
        <v>33</v>
      </c>
      <c r="H1376" s="10">
        <f t="shared" si="43"/>
        <v>5812</v>
      </c>
      <c r="I1376" s="7">
        <v>4409.6016093995859</v>
      </c>
      <c r="J1376" s="7">
        <f t="shared" si="44"/>
        <v>1402.3983906004141</v>
      </c>
      <c r="K1376" s="1">
        <f>IF(B1376="North",28.6,
IF(B1376="South",13,
IF(B1376="East",22.6,
IF(B1376="West",19,
23.5))))</f>
        <v>19</v>
      </c>
      <c r="L1376" s="1">
        <f>IF(B1376="North",77.2,
IF(B1376="South",80.2,
IF(B1376="East",88.4,
IF(B1376="West",72.8,
78.9))))</f>
        <v>72.8</v>
      </c>
    </row>
    <row r="1377" spans="1:12" x14ac:dyDescent="0.25">
      <c r="A1377" s="5">
        <v>45472</v>
      </c>
      <c r="B1377" s="1" t="s">
        <v>11</v>
      </c>
      <c r="C1377" s="1" t="s">
        <v>40</v>
      </c>
      <c r="D1377" s="1" t="s">
        <v>30</v>
      </c>
      <c r="E1377" s="10">
        <v>11</v>
      </c>
      <c r="F1377" s="10">
        <v>1681</v>
      </c>
      <c r="G1377" s="1" t="s">
        <v>35</v>
      </c>
      <c r="H1377" s="10">
        <f t="shared" si="43"/>
        <v>18491</v>
      </c>
      <c r="I1377" s="7">
        <v>13214.270317324739</v>
      </c>
      <c r="J1377" s="7">
        <f t="shared" si="44"/>
        <v>5276.7296826752608</v>
      </c>
      <c r="K1377" s="1">
        <f>IF(B1377="North",28.6,
IF(B1377="South",13,
IF(B1377="East",22.6,
IF(B1377="West",19,
23.5))))</f>
        <v>19</v>
      </c>
      <c r="L1377" s="1">
        <f>IF(B1377="North",77.2,
IF(B1377="South",80.2,
IF(B1377="East",88.4,
IF(B1377="West",72.8,
78.9))))</f>
        <v>72.8</v>
      </c>
    </row>
    <row r="1378" spans="1:12" x14ac:dyDescent="0.25">
      <c r="A1378" s="5">
        <v>45583</v>
      </c>
      <c r="B1378" s="1" t="s">
        <v>13</v>
      </c>
      <c r="C1378" s="1" t="s">
        <v>17</v>
      </c>
      <c r="D1378" s="1" t="s">
        <v>27</v>
      </c>
      <c r="E1378" s="10">
        <v>15</v>
      </c>
      <c r="F1378" s="10">
        <v>1448</v>
      </c>
      <c r="G1378" s="1" t="s">
        <v>33</v>
      </c>
      <c r="H1378" s="10">
        <f t="shared" si="43"/>
        <v>21720</v>
      </c>
      <c r="I1378" s="7">
        <v>15968.60647329019</v>
      </c>
      <c r="J1378" s="7">
        <f t="shared" si="44"/>
        <v>5751.3935267098095</v>
      </c>
      <c r="K1378" s="1">
        <f>IF(B1378="North",28.6,
IF(B1378="South",13,
IF(B1378="East",22.6,
IF(B1378="West",19,
23.5))))</f>
        <v>13</v>
      </c>
      <c r="L1378" s="1">
        <f>IF(B1378="North",77.2,
IF(B1378="South",80.2,
IF(B1378="East",88.4,
IF(B1378="West",72.8,
78.9))))</f>
        <v>80.2</v>
      </c>
    </row>
    <row r="1379" spans="1:12" x14ac:dyDescent="0.25">
      <c r="A1379" s="5">
        <v>45573</v>
      </c>
      <c r="B1379" s="1" t="s">
        <v>11</v>
      </c>
      <c r="C1379" s="1" t="s">
        <v>21</v>
      </c>
      <c r="D1379" s="1" t="s">
        <v>31</v>
      </c>
      <c r="E1379" s="10">
        <v>18</v>
      </c>
      <c r="F1379" s="10">
        <v>1237</v>
      </c>
      <c r="G1379" s="1" t="s">
        <v>35</v>
      </c>
      <c r="H1379" s="10">
        <f t="shared" si="43"/>
        <v>22266</v>
      </c>
      <c r="I1379" s="7">
        <v>13446.28156460947</v>
      </c>
      <c r="J1379" s="7">
        <f t="shared" si="44"/>
        <v>8819.7184353905304</v>
      </c>
      <c r="K1379" s="1">
        <f>IF(B1379="North",28.6,
IF(B1379="South",13,
IF(B1379="East",22.6,
IF(B1379="West",19,
23.5))))</f>
        <v>19</v>
      </c>
      <c r="L1379" s="1">
        <f>IF(B1379="North",77.2,
IF(B1379="South",80.2,
IF(B1379="East",88.4,
IF(B1379="West",72.8,
78.9))))</f>
        <v>72.8</v>
      </c>
    </row>
    <row r="1380" spans="1:12" x14ac:dyDescent="0.25">
      <c r="A1380" s="5">
        <v>45320</v>
      </c>
      <c r="B1380" s="1" t="s">
        <v>11</v>
      </c>
      <c r="C1380" s="1" t="s">
        <v>19</v>
      </c>
      <c r="D1380" s="1" t="s">
        <v>25</v>
      </c>
      <c r="E1380" s="10">
        <v>1</v>
      </c>
      <c r="F1380" s="10">
        <v>246</v>
      </c>
      <c r="G1380" s="1" t="s">
        <v>35</v>
      </c>
      <c r="H1380" s="10">
        <f t="shared" si="43"/>
        <v>246</v>
      </c>
      <c r="I1380" s="7">
        <v>204.46476561290311</v>
      </c>
      <c r="J1380" s="7">
        <f t="shared" si="44"/>
        <v>41.535234387096892</v>
      </c>
      <c r="K1380" s="1">
        <f>IF(B1380="North",28.6,
IF(B1380="South",13,
IF(B1380="East",22.6,
IF(B1380="West",19,
23.5))))</f>
        <v>19</v>
      </c>
      <c r="L1380" s="1">
        <f>IF(B1380="North",77.2,
IF(B1380="South",80.2,
IF(B1380="East",88.4,
IF(B1380="West",72.8,
78.9))))</f>
        <v>72.8</v>
      </c>
    </row>
    <row r="1381" spans="1:12" x14ac:dyDescent="0.25">
      <c r="A1381" s="5">
        <v>45440</v>
      </c>
      <c r="B1381" s="1" t="s">
        <v>11</v>
      </c>
      <c r="C1381" s="1" t="s">
        <v>18</v>
      </c>
      <c r="D1381" s="1" t="s">
        <v>30</v>
      </c>
      <c r="E1381" s="10">
        <v>3</v>
      </c>
      <c r="F1381" s="10">
        <v>1289</v>
      </c>
      <c r="G1381" s="1" t="s">
        <v>34</v>
      </c>
      <c r="H1381" s="10">
        <f t="shared" si="43"/>
        <v>3867</v>
      </c>
      <c r="I1381" s="7">
        <v>2367.769539354817</v>
      </c>
      <c r="J1381" s="7">
        <f t="shared" si="44"/>
        <v>1499.230460645183</v>
      </c>
      <c r="K1381" s="1">
        <f>IF(B1381="North",28.6,
IF(B1381="South",13,
IF(B1381="East",22.6,
IF(B1381="West",19,
23.5))))</f>
        <v>19</v>
      </c>
      <c r="L1381" s="1">
        <f>IF(B1381="North",77.2,
IF(B1381="South",80.2,
IF(B1381="East",88.4,
IF(B1381="West",72.8,
78.9))))</f>
        <v>72.8</v>
      </c>
    </row>
    <row r="1382" spans="1:12" x14ac:dyDescent="0.25">
      <c r="A1382" s="5">
        <v>45558</v>
      </c>
      <c r="B1382" s="1" t="s">
        <v>11</v>
      </c>
      <c r="C1382" s="1" t="s">
        <v>18</v>
      </c>
      <c r="D1382" s="1" t="s">
        <v>31</v>
      </c>
      <c r="E1382" s="10">
        <v>3</v>
      </c>
      <c r="F1382" s="10">
        <v>1502</v>
      </c>
      <c r="G1382" s="1" t="s">
        <v>34</v>
      </c>
      <c r="H1382" s="10">
        <f t="shared" si="43"/>
        <v>4506</v>
      </c>
      <c r="I1382" s="7">
        <v>3824.671386932725</v>
      </c>
      <c r="J1382" s="7">
        <f t="shared" si="44"/>
        <v>681.328613067275</v>
      </c>
      <c r="K1382" s="1">
        <f>IF(B1382="North",28.6,
IF(B1382="South",13,
IF(B1382="East",22.6,
IF(B1382="West",19,
23.5))))</f>
        <v>19</v>
      </c>
      <c r="L1382" s="1">
        <f>IF(B1382="North",77.2,
IF(B1382="South",80.2,
IF(B1382="East",88.4,
IF(B1382="West",72.8,
78.9))))</f>
        <v>72.8</v>
      </c>
    </row>
    <row r="1383" spans="1:12" x14ac:dyDescent="0.25">
      <c r="A1383" s="5">
        <v>45587</v>
      </c>
      <c r="B1383" s="1" t="s">
        <v>10</v>
      </c>
      <c r="C1383" s="1" t="s">
        <v>21</v>
      </c>
      <c r="D1383" s="1" t="s">
        <v>27</v>
      </c>
      <c r="E1383" s="10">
        <v>0</v>
      </c>
      <c r="F1383" s="10">
        <v>1262</v>
      </c>
      <c r="G1383" s="1" t="s">
        <v>35</v>
      </c>
      <c r="H1383" s="10">
        <f t="shared" si="43"/>
        <v>0</v>
      </c>
      <c r="I1383" s="7">
        <v>0</v>
      </c>
      <c r="J1383" s="7">
        <f t="shared" si="44"/>
        <v>0</v>
      </c>
      <c r="K1383" s="1">
        <f>IF(B1383="North",28.6,
IF(B1383="South",13,
IF(B1383="East",22.6,
IF(B1383="West",19,
23.5))))</f>
        <v>28.6</v>
      </c>
      <c r="L1383" s="1">
        <f>IF(B1383="North",77.2,
IF(B1383="South",80.2,
IF(B1383="East",88.4,
IF(B1383="West",72.8,
78.9))))</f>
        <v>77.2</v>
      </c>
    </row>
    <row r="1384" spans="1:12" x14ac:dyDescent="0.25">
      <c r="A1384" s="5">
        <v>45302</v>
      </c>
      <c r="B1384" s="1" t="s">
        <v>11</v>
      </c>
      <c r="C1384" s="1" t="s">
        <v>40</v>
      </c>
      <c r="D1384" s="1" t="s">
        <v>30</v>
      </c>
      <c r="E1384" s="10">
        <v>1</v>
      </c>
      <c r="F1384" s="10">
        <v>728</v>
      </c>
      <c r="G1384" s="1" t="s">
        <v>34</v>
      </c>
      <c r="H1384" s="10">
        <f t="shared" si="43"/>
        <v>728</v>
      </c>
      <c r="I1384" s="7">
        <v>552.07571136343449</v>
      </c>
      <c r="J1384" s="7">
        <f t="shared" si="44"/>
        <v>175.92428863656551</v>
      </c>
      <c r="K1384" s="1">
        <f>IF(B1384="North",28.6,
IF(B1384="South",13,
IF(B1384="East",22.6,
IF(B1384="West",19,
23.5))))</f>
        <v>19</v>
      </c>
      <c r="L1384" s="1">
        <f>IF(B1384="North",77.2,
IF(B1384="South",80.2,
IF(B1384="East",88.4,
IF(B1384="West",72.8,
78.9))))</f>
        <v>72.8</v>
      </c>
    </row>
    <row r="1385" spans="1:12" x14ac:dyDescent="0.25">
      <c r="A1385" s="5">
        <v>45455</v>
      </c>
      <c r="B1385" s="1" t="s">
        <v>10</v>
      </c>
      <c r="C1385" s="1" t="s">
        <v>21</v>
      </c>
      <c r="D1385" s="1" t="s">
        <v>27</v>
      </c>
      <c r="E1385" s="10">
        <v>11</v>
      </c>
      <c r="F1385" s="10">
        <v>398</v>
      </c>
      <c r="G1385" s="1" t="s">
        <v>35</v>
      </c>
      <c r="H1385" s="10">
        <f t="shared" si="43"/>
        <v>4378</v>
      </c>
      <c r="I1385" s="7">
        <v>3552.1935697173199</v>
      </c>
      <c r="J1385" s="7">
        <f t="shared" si="44"/>
        <v>825.80643028268014</v>
      </c>
      <c r="K1385" s="1">
        <f>IF(B1385="North",28.6,
IF(B1385="South",13,
IF(B1385="East",22.6,
IF(B1385="West",19,
23.5))))</f>
        <v>28.6</v>
      </c>
      <c r="L1385" s="1">
        <f>IF(B1385="North",77.2,
IF(B1385="South",80.2,
IF(B1385="East",88.4,
IF(B1385="West",72.8,
78.9))))</f>
        <v>77.2</v>
      </c>
    </row>
    <row r="1386" spans="1:12" x14ac:dyDescent="0.25">
      <c r="A1386" s="5">
        <v>45404</v>
      </c>
      <c r="B1386" s="1" t="s">
        <v>10</v>
      </c>
      <c r="C1386" s="1" t="s">
        <v>22</v>
      </c>
      <c r="D1386" s="1" t="s">
        <v>25</v>
      </c>
      <c r="E1386" s="10">
        <v>6</v>
      </c>
      <c r="F1386" s="10">
        <v>1399</v>
      </c>
      <c r="G1386" s="1" t="s">
        <v>35</v>
      </c>
      <c r="H1386" s="10">
        <f t="shared" si="43"/>
        <v>8394</v>
      </c>
      <c r="I1386" s="7">
        <v>7200.9428151279562</v>
      </c>
      <c r="J1386" s="7">
        <f t="shared" si="44"/>
        <v>1193.0571848720438</v>
      </c>
      <c r="K1386" s="1">
        <f>IF(B1386="North",28.6,
IF(B1386="South",13,
IF(B1386="East",22.6,
IF(B1386="West",19,
23.5))))</f>
        <v>28.6</v>
      </c>
      <c r="L1386" s="1">
        <f>IF(B1386="North",77.2,
IF(B1386="South",80.2,
IF(B1386="East",88.4,
IF(B1386="West",72.8,
78.9))))</f>
        <v>77.2</v>
      </c>
    </row>
    <row r="1387" spans="1:12" x14ac:dyDescent="0.25">
      <c r="A1387" s="5">
        <v>45478</v>
      </c>
      <c r="B1387" s="1" t="s">
        <v>11</v>
      </c>
      <c r="C1387" s="1" t="s">
        <v>19</v>
      </c>
      <c r="D1387" s="1" t="s">
        <v>30</v>
      </c>
      <c r="E1387" s="10">
        <v>3</v>
      </c>
      <c r="F1387" s="10">
        <v>888</v>
      </c>
      <c r="G1387" s="1" t="s">
        <v>35</v>
      </c>
      <c r="H1387" s="10">
        <f t="shared" si="43"/>
        <v>2664</v>
      </c>
      <c r="I1387" s="7">
        <v>2351.7628002665479</v>
      </c>
      <c r="J1387" s="7">
        <f t="shared" si="44"/>
        <v>312.23719973345214</v>
      </c>
      <c r="K1387" s="1">
        <f>IF(B1387="North",28.6,
IF(B1387="South",13,
IF(B1387="East",22.6,
IF(B1387="West",19,
23.5))))</f>
        <v>19</v>
      </c>
      <c r="L1387" s="1">
        <f>IF(B1387="North",77.2,
IF(B1387="South",80.2,
IF(B1387="East",88.4,
IF(B1387="West",72.8,
78.9))))</f>
        <v>72.8</v>
      </c>
    </row>
    <row r="1388" spans="1:12" x14ac:dyDescent="0.25">
      <c r="A1388" s="5">
        <v>45586</v>
      </c>
      <c r="B1388" s="1" t="s">
        <v>12</v>
      </c>
      <c r="C1388" s="1" t="s">
        <v>19</v>
      </c>
      <c r="D1388" s="1" t="s">
        <v>27</v>
      </c>
      <c r="E1388" s="10">
        <v>19</v>
      </c>
      <c r="F1388" s="10">
        <v>949</v>
      </c>
      <c r="G1388" s="1" t="s">
        <v>35</v>
      </c>
      <c r="H1388" s="10">
        <f t="shared" si="43"/>
        <v>18031</v>
      </c>
      <c r="I1388" s="7">
        <v>13757.850731068889</v>
      </c>
      <c r="J1388" s="7">
        <f t="shared" si="44"/>
        <v>4273.1492689311108</v>
      </c>
      <c r="K1388" s="1">
        <f>IF(B1388="North",28.6,
IF(B1388="South",13,
IF(B1388="East",22.6,
IF(B1388="West",19,
23.5))))</f>
        <v>22.6</v>
      </c>
      <c r="L1388" s="1">
        <f>IF(B1388="North",77.2,
IF(B1388="South",80.2,
IF(B1388="East",88.4,
IF(B1388="West",72.8,
78.9))))</f>
        <v>88.4</v>
      </c>
    </row>
    <row r="1389" spans="1:12" x14ac:dyDescent="0.25">
      <c r="A1389" s="5">
        <v>45523</v>
      </c>
      <c r="B1389" s="1" t="s">
        <v>10</v>
      </c>
      <c r="C1389" s="1" t="s">
        <v>24</v>
      </c>
      <c r="D1389" s="1" t="s">
        <v>25</v>
      </c>
      <c r="E1389" s="10">
        <v>2</v>
      </c>
      <c r="F1389" s="10">
        <v>1948</v>
      </c>
      <c r="G1389" s="1" t="s">
        <v>35</v>
      </c>
      <c r="H1389" s="10">
        <f t="shared" si="43"/>
        <v>3896</v>
      </c>
      <c r="I1389" s="7">
        <v>2513.689341548647</v>
      </c>
      <c r="J1389" s="7">
        <f t="shared" si="44"/>
        <v>1382.310658451353</v>
      </c>
      <c r="K1389" s="1">
        <f>IF(B1389="North",28.6,
IF(B1389="South",13,
IF(B1389="East",22.6,
IF(B1389="West",19,
23.5))))</f>
        <v>28.6</v>
      </c>
      <c r="L1389" s="1">
        <f>IF(B1389="North",77.2,
IF(B1389="South",80.2,
IF(B1389="East",88.4,
IF(B1389="West",72.8,
78.9))))</f>
        <v>77.2</v>
      </c>
    </row>
    <row r="1390" spans="1:12" x14ac:dyDescent="0.25">
      <c r="A1390" s="5">
        <v>45518</v>
      </c>
      <c r="B1390" s="1" t="s">
        <v>12</v>
      </c>
      <c r="C1390" s="1" t="s">
        <v>21</v>
      </c>
      <c r="D1390" s="1" t="s">
        <v>31</v>
      </c>
      <c r="E1390" s="10">
        <v>18</v>
      </c>
      <c r="F1390" s="10">
        <v>277</v>
      </c>
      <c r="G1390" s="1" t="s">
        <v>35</v>
      </c>
      <c r="H1390" s="10">
        <f t="shared" si="43"/>
        <v>4986</v>
      </c>
      <c r="I1390" s="7">
        <v>4305.8561393695854</v>
      </c>
      <c r="J1390" s="7">
        <f t="shared" si="44"/>
        <v>680.14386063041457</v>
      </c>
      <c r="K1390" s="1">
        <f>IF(B1390="North",28.6,
IF(B1390="South",13,
IF(B1390="East",22.6,
IF(B1390="West",19,
23.5))))</f>
        <v>22.6</v>
      </c>
      <c r="L1390" s="1">
        <f>IF(B1390="North",77.2,
IF(B1390="South",80.2,
IF(B1390="East",88.4,
IF(B1390="West",72.8,
78.9))))</f>
        <v>88.4</v>
      </c>
    </row>
    <row r="1391" spans="1:12" x14ac:dyDescent="0.25">
      <c r="A1391" s="5">
        <v>45601</v>
      </c>
      <c r="B1391" s="1" t="s">
        <v>12</v>
      </c>
      <c r="C1391" s="1" t="s">
        <v>19</v>
      </c>
      <c r="D1391" s="1" t="s">
        <v>29</v>
      </c>
      <c r="E1391" s="10">
        <v>12</v>
      </c>
      <c r="F1391" s="10">
        <v>941</v>
      </c>
      <c r="G1391" s="1" t="s">
        <v>35</v>
      </c>
      <c r="H1391" s="10">
        <f t="shared" si="43"/>
        <v>11292</v>
      </c>
      <c r="I1391" s="7">
        <v>6912.9805294306007</v>
      </c>
      <c r="J1391" s="7">
        <f t="shared" si="44"/>
        <v>4379.0194705693993</v>
      </c>
      <c r="K1391" s="1">
        <f>IF(B1391="North",28.6,
IF(B1391="South",13,
IF(B1391="East",22.6,
IF(B1391="West",19,
23.5))))</f>
        <v>22.6</v>
      </c>
      <c r="L1391" s="1">
        <f>IF(B1391="North",77.2,
IF(B1391="South",80.2,
IF(B1391="East",88.4,
IF(B1391="West",72.8,
78.9))))</f>
        <v>88.4</v>
      </c>
    </row>
    <row r="1392" spans="1:12" x14ac:dyDescent="0.25">
      <c r="A1392" s="5">
        <v>45389</v>
      </c>
      <c r="B1392" s="1" t="s">
        <v>11</v>
      </c>
      <c r="C1392" s="1" t="s">
        <v>24</v>
      </c>
      <c r="D1392" s="1" t="s">
        <v>31</v>
      </c>
      <c r="E1392" s="10">
        <v>10</v>
      </c>
      <c r="F1392" s="10">
        <v>1477</v>
      </c>
      <c r="G1392" s="1" t="s">
        <v>35</v>
      </c>
      <c r="H1392" s="10">
        <f t="shared" si="43"/>
        <v>14770</v>
      </c>
      <c r="I1392" s="7">
        <v>12439.31100345947</v>
      </c>
      <c r="J1392" s="7">
        <f t="shared" si="44"/>
        <v>2330.6889965405298</v>
      </c>
      <c r="K1392" s="1">
        <f>IF(B1392="North",28.6,
IF(B1392="South",13,
IF(B1392="East",22.6,
IF(B1392="West",19,
23.5))))</f>
        <v>19</v>
      </c>
      <c r="L1392" s="1">
        <f>IF(B1392="North",77.2,
IF(B1392="South",80.2,
IF(B1392="East",88.4,
IF(B1392="West",72.8,
78.9))))</f>
        <v>72.8</v>
      </c>
    </row>
    <row r="1393" spans="1:12" x14ac:dyDescent="0.25">
      <c r="A1393" s="5">
        <v>45346</v>
      </c>
      <c r="B1393" s="1" t="s">
        <v>13</v>
      </c>
      <c r="C1393" s="1" t="s">
        <v>20</v>
      </c>
      <c r="D1393" s="1" t="s">
        <v>27</v>
      </c>
      <c r="E1393" s="10">
        <v>5</v>
      </c>
      <c r="F1393" s="10">
        <v>1277</v>
      </c>
      <c r="G1393" s="1" t="s">
        <v>33</v>
      </c>
      <c r="H1393" s="10">
        <f t="shared" si="43"/>
        <v>6385</v>
      </c>
      <c r="I1393" s="7">
        <v>5134.3476254183288</v>
      </c>
      <c r="J1393" s="7">
        <f t="shared" si="44"/>
        <v>1250.6523745816712</v>
      </c>
      <c r="K1393" s="1">
        <f>IF(B1393="North",28.6,
IF(B1393="South",13,
IF(B1393="East",22.6,
IF(B1393="West",19,
23.5))))</f>
        <v>13</v>
      </c>
      <c r="L1393" s="1">
        <f>IF(B1393="North",77.2,
IF(B1393="South",80.2,
IF(B1393="East",88.4,
IF(B1393="West",72.8,
78.9))))</f>
        <v>80.2</v>
      </c>
    </row>
    <row r="1394" spans="1:12" x14ac:dyDescent="0.25">
      <c r="A1394" s="5">
        <v>45402</v>
      </c>
      <c r="B1394" s="1" t="s">
        <v>11</v>
      </c>
      <c r="C1394" s="1" t="s">
        <v>24</v>
      </c>
      <c r="D1394" s="1" t="s">
        <v>30</v>
      </c>
      <c r="E1394" s="10">
        <v>9</v>
      </c>
      <c r="F1394" s="10">
        <v>1324</v>
      </c>
      <c r="G1394" s="1" t="s">
        <v>35</v>
      </c>
      <c r="H1394" s="10">
        <f t="shared" si="43"/>
        <v>11916</v>
      </c>
      <c r="I1394" s="7">
        <v>10383.82025101555</v>
      </c>
      <c r="J1394" s="7">
        <f t="shared" si="44"/>
        <v>1532.1797489844503</v>
      </c>
      <c r="K1394" s="1">
        <f>IF(B1394="North",28.6,
IF(B1394="South",13,
IF(B1394="East",22.6,
IF(B1394="West",19,
23.5))))</f>
        <v>19</v>
      </c>
      <c r="L1394" s="1">
        <f>IF(B1394="North",77.2,
IF(B1394="South",80.2,
IF(B1394="East",88.4,
IF(B1394="West",72.8,
78.9))))</f>
        <v>72.8</v>
      </c>
    </row>
    <row r="1395" spans="1:12" x14ac:dyDescent="0.25">
      <c r="A1395" s="5">
        <v>45443</v>
      </c>
      <c r="B1395" s="1" t="s">
        <v>13</v>
      </c>
      <c r="C1395" s="1" t="s">
        <v>17</v>
      </c>
      <c r="D1395" s="1" t="s">
        <v>28</v>
      </c>
      <c r="E1395" s="10">
        <v>2</v>
      </c>
      <c r="F1395" s="10">
        <v>977</v>
      </c>
      <c r="G1395" s="1" t="s">
        <v>33</v>
      </c>
      <c r="H1395" s="10">
        <f t="shared" si="43"/>
        <v>1954</v>
      </c>
      <c r="I1395" s="7">
        <v>1698.4928986750531</v>
      </c>
      <c r="J1395" s="7">
        <f t="shared" si="44"/>
        <v>255.50710132494692</v>
      </c>
      <c r="K1395" s="1">
        <f>IF(B1395="North",28.6,
IF(B1395="South",13,
IF(B1395="East",22.6,
IF(B1395="West",19,
23.5))))</f>
        <v>13</v>
      </c>
      <c r="L1395" s="1">
        <f>IF(B1395="North",77.2,
IF(B1395="South",80.2,
IF(B1395="East",88.4,
IF(B1395="West",72.8,
78.9))))</f>
        <v>80.2</v>
      </c>
    </row>
    <row r="1396" spans="1:12" x14ac:dyDescent="0.25">
      <c r="A1396" s="5">
        <v>45537</v>
      </c>
      <c r="B1396" s="1" t="s">
        <v>13</v>
      </c>
      <c r="C1396" s="1" t="s">
        <v>23</v>
      </c>
      <c r="D1396" s="1" t="s">
        <v>31</v>
      </c>
      <c r="E1396" s="10">
        <v>2</v>
      </c>
      <c r="F1396" s="10">
        <v>1238</v>
      </c>
      <c r="G1396" s="1" t="s">
        <v>34</v>
      </c>
      <c r="H1396" s="10">
        <f t="shared" si="43"/>
        <v>2476</v>
      </c>
      <c r="I1396" s="7">
        <v>1525.0828546626631</v>
      </c>
      <c r="J1396" s="7">
        <f t="shared" si="44"/>
        <v>950.91714533733693</v>
      </c>
      <c r="K1396" s="1">
        <f>IF(B1396="North",28.6,
IF(B1396="South",13,
IF(B1396="East",22.6,
IF(B1396="West",19,
23.5))))</f>
        <v>13</v>
      </c>
      <c r="L1396" s="1">
        <f>IF(B1396="North",77.2,
IF(B1396="South",80.2,
IF(B1396="East",88.4,
IF(B1396="West",72.8,
78.9))))</f>
        <v>80.2</v>
      </c>
    </row>
    <row r="1397" spans="1:12" x14ac:dyDescent="0.25">
      <c r="A1397" s="5">
        <v>45360</v>
      </c>
      <c r="B1397" s="1" t="s">
        <v>11</v>
      </c>
      <c r="C1397" s="1" t="s">
        <v>22</v>
      </c>
      <c r="D1397" s="1" t="s">
        <v>31</v>
      </c>
      <c r="E1397" s="10">
        <v>6</v>
      </c>
      <c r="F1397" s="10">
        <v>1794</v>
      </c>
      <c r="G1397" s="1" t="s">
        <v>35</v>
      </c>
      <c r="H1397" s="10">
        <f t="shared" si="43"/>
        <v>10764</v>
      </c>
      <c r="I1397" s="7">
        <v>8426.42433805168</v>
      </c>
      <c r="J1397" s="7">
        <f t="shared" si="44"/>
        <v>2337.57566194832</v>
      </c>
      <c r="K1397" s="1">
        <f>IF(B1397="North",28.6,
IF(B1397="South",13,
IF(B1397="East",22.6,
IF(B1397="West",19,
23.5))))</f>
        <v>19</v>
      </c>
      <c r="L1397" s="1">
        <f>IF(B1397="North",77.2,
IF(B1397="South",80.2,
IF(B1397="East",88.4,
IF(B1397="West",72.8,
78.9))))</f>
        <v>72.8</v>
      </c>
    </row>
    <row r="1398" spans="1:12" x14ac:dyDescent="0.25">
      <c r="A1398" s="5">
        <v>45603</v>
      </c>
      <c r="B1398" s="1" t="s">
        <v>11</v>
      </c>
      <c r="C1398" s="1" t="s">
        <v>20</v>
      </c>
      <c r="D1398" s="1" t="s">
        <v>25</v>
      </c>
      <c r="E1398" s="10">
        <v>10</v>
      </c>
      <c r="F1398" s="10">
        <v>1677</v>
      </c>
      <c r="G1398" s="1" t="s">
        <v>33</v>
      </c>
      <c r="H1398" s="10">
        <f t="shared" si="43"/>
        <v>16770</v>
      </c>
      <c r="I1398" s="7">
        <v>10689.22209095122</v>
      </c>
      <c r="J1398" s="7">
        <f t="shared" si="44"/>
        <v>6080.7779090487802</v>
      </c>
      <c r="K1398" s="1">
        <f>IF(B1398="North",28.6,
IF(B1398="South",13,
IF(B1398="East",22.6,
IF(B1398="West",19,
23.5))))</f>
        <v>19</v>
      </c>
      <c r="L1398" s="1">
        <f>IF(B1398="North",77.2,
IF(B1398="South",80.2,
IF(B1398="East",88.4,
IF(B1398="West",72.8,
78.9))))</f>
        <v>72.8</v>
      </c>
    </row>
    <row r="1399" spans="1:12" x14ac:dyDescent="0.25">
      <c r="A1399" s="5">
        <v>45580</v>
      </c>
      <c r="B1399" s="1" t="s">
        <v>13</v>
      </c>
      <c r="C1399" s="1" t="s">
        <v>23</v>
      </c>
      <c r="D1399" s="1" t="s">
        <v>32</v>
      </c>
      <c r="E1399" s="10">
        <v>18</v>
      </c>
      <c r="F1399" s="10">
        <v>858</v>
      </c>
      <c r="G1399" s="1" t="s">
        <v>34</v>
      </c>
      <c r="H1399" s="10">
        <f t="shared" si="43"/>
        <v>15444</v>
      </c>
      <c r="I1399" s="7">
        <v>9629.9607719325541</v>
      </c>
      <c r="J1399" s="7">
        <f t="shared" si="44"/>
        <v>5814.0392280674459</v>
      </c>
      <c r="K1399" s="1">
        <f>IF(B1399="North",28.6,
IF(B1399="South",13,
IF(B1399="East",22.6,
IF(B1399="West",19,
23.5))))</f>
        <v>13</v>
      </c>
      <c r="L1399" s="1">
        <f>IF(B1399="North",77.2,
IF(B1399="South",80.2,
IF(B1399="East",88.4,
IF(B1399="West",72.8,
78.9))))</f>
        <v>80.2</v>
      </c>
    </row>
    <row r="1400" spans="1:12" x14ac:dyDescent="0.25">
      <c r="A1400" s="5">
        <v>45541</v>
      </c>
      <c r="B1400" s="1" t="s">
        <v>11</v>
      </c>
      <c r="C1400" s="1" t="s">
        <v>23</v>
      </c>
      <c r="D1400" s="1" t="s">
        <v>28</v>
      </c>
      <c r="E1400" s="10">
        <v>10</v>
      </c>
      <c r="F1400" s="10">
        <v>1191</v>
      </c>
      <c r="G1400" s="1" t="s">
        <v>34</v>
      </c>
      <c r="H1400" s="10">
        <f t="shared" si="43"/>
        <v>11910</v>
      </c>
      <c r="I1400" s="7">
        <f t="shared" ref="I1400:I1401" si="45">H1400*0.7</f>
        <v>8337</v>
      </c>
      <c r="J1400" s="7">
        <f t="shared" si="44"/>
        <v>3573</v>
      </c>
      <c r="K1400" s="1">
        <f>IF(B1400="North",28.6,
IF(B1400="South",13,
IF(B1400="East",22.6,
IF(B1400="West",19,
23.5))))</f>
        <v>19</v>
      </c>
      <c r="L1400" s="1">
        <f>IF(B1400="North",77.2,
IF(B1400="South",80.2,
IF(B1400="East",88.4,
IF(B1400="West",72.8,
78.9))))</f>
        <v>72.8</v>
      </c>
    </row>
    <row r="1401" spans="1:12" x14ac:dyDescent="0.25">
      <c r="A1401" s="5">
        <v>45327</v>
      </c>
      <c r="B1401" s="1" t="s">
        <v>13</v>
      </c>
      <c r="C1401" s="1" t="s">
        <v>20</v>
      </c>
      <c r="D1401" s="1" t="s">
        <v>27</v>
      </c>
      <c r="E1401" s="10">
        <v>4</v>
      </c>
      <c r="F1401" s="10">
        <v>1073.5</v>
      </c>
      <c r="G1401" s="1" t="s">
        <v>33</v>
      </c>
      <c r="H1401" s="10">
        <f t="shared" si="43"/>
        <v>4294</v>
      </c>
      <c r="I1401" s="7">
        <f t="shared" si="45"/>
        <v>3005.7999999999997</v>
      </c>
      <c r="J1401" s="7">
        <f t="shared" si="44"/>
        <v>1288.2000000000003</v>
      </c>
      <c r="K1401" s="1">
        <f>IF(B1401="North",28.6,
IF(B1401="South",13,
IF(B1401="East",22.6,
IF(B1401="West",19,
23.5))))</f>
        <v>13</v>
      </c>
      <c r="L1401" s="1">
        <f>IF(B1401="North",77.2,
IF(B1401="South",80.2,
IF(B1401="East",88.4,
IF(B1401="West",72.8,
78.9))))</f>
        <v>80.2</v>
      </c>
    </row>
    <row r="1402" spans="1:12" x14ac:dyDescent="0.25">
      <c r="A1402" s="5">
        <v>45530</v>
      </c>
      <c r="B1402" s="1" t="s">
        <v>12</v>
      </c>
      <c r="C1402" s="1" t="s">
        <v>17</v>
      </c>
      <c r="D1402" s="1" t="s">
        <v>29</v>
      </c>
      <c r="E1402" s="10">
        <v>17</v>
      </c>
      <c r="F1402" s="10">
        <v>544</v>
      </c>
      <c r="G1402" s="1" t="s">
        <v>33</v>
      </c>
      <c r="H1402" s="10">
        <f t="shared" si="43"/>
        <v>9248</v>
      </c>
      <c r="I1402" s="7">
        <v>7568.2923717075782</v>
      </c>
      <c r="J1402" s="7">
        <f t="shared" si="44"/>
        <v>1679.7076282924218</v>
      </c>
      <c r="K1402" s="1">
        <f>IF(B1402="North",28.6,
IF(B1402="South",13,
IF(B1402="East",22.6,
IF(B1402="West",19,
23.5))))</f>
        <v>22.6</v>
      </c>
      <c r="L1402" s="1">
        <f>IF(B1402="North",77.2,
IF(B1402="South",80.2,
IF(B1402="East",88.4,
IF(B1402="West",72.8,
78.9))))</f>
        <v>88.4</v>
      </c>
    </row>
    <row r="1403" spans="1:12" x14ac:dyDescent="0.25">
      <c r="A1403" s="5">
        <v>45439</v>
      </c>
      <c r="B1403" s="1" t="s">
        <v>11</v>
      </c>
      <c r="C1403" s="1" t="s">
        <v>24</v>
      </c>
      <c r="D1403" s="1" t="s">
        <v>30</v>
      </c>
      <c r="E1403" s="10">
        <v>15</v>
      </c>
      <c r="F1403" s="10">
        <v>1449</v>
      </c>
      <c r="G1403" s="1" t="s">
        <v>35</v>
      </c>
      <c r="H1403" s="10">
        <f t="shared" si="43"/>
        <v>21735</v>
      </c>
      <c r="I1403" s="7">
        <v>19358.977902864801</v>
      </c>
      <c r="J1403" s="7">
        <f t="shared" si="44"/>
        <v>2376.0220971351991</v>
      </c>
      <c r="K1403" s="1">
        <f>IF(B1403="North",28.6,
IF(B1403="South",13,
IF(B1403="East",22.6,
IF(B1403="West",19,
23.5))))</f>
        <v>19</v>
      </c>
      <c r="L1403" s="1">
        <f>IF(B1403="North",77.2,
IF(B1403="South",80.2,
IF(B1403="East",88.4,
IF(B1403="West",72.8,
78.9))))</f>
        <v>72.8</v>
      </c>
    </row>
    <row r="1404" spans="1:12" x14ac:dyDescent="0.25">
      <c r="A1404" s="5">
        <v>45518</v>
      </c>
      <c r="B1404" s="1" t="s">
        <v>12</v>
      </c>
      <c r="C1404" s="1" t="s">
        <v>22</v>
      </c>
      <c r="D1404" s="1" t="s">
        <v>32</v>
      </c>
      <c r="E1404" s="10">
        <v>6</v>
      </c>
      <c r="F1404" s="10">
        <v>1969</v>
      </c>
      <c r="G1404" s="1" t="s">
        <v>35</v>
      </c>
      <c r="H1404" s="10">
        <f t="shared" si="43"/>
        <v>11814</v>
      </c>
      <c r="I1404" s="7">
        <v>9107.1159189748378</v>
      </c>
      <c r="J1404" s="7">
        <f t="shared" si="44"/>
        <v>2706.8840810251622</v>
      </c>
      <c r="K1404" s="1">
        <f>IF(B1404="North",28.6,
IF(B1404="South",13,
IF(B1404="East",22.6,
IF(B1404="West",19,
23.5))))</f>
        <v>22.6</v>
      </c>
      <c r="L1404" s="1">
        <f>IF(B1404="North",77.2,
IF(B1404="South",80.2,
IF(B1404="East",88.4,
IF(B1404="West",72.8,
78.9))))</f>
        <v>88.4</v>
      </c>
    </row>
    <row r="1405" spans="1:12" x14ac:dyDescent="0.25">
      <c r="A1405" s="5">
        <v>45535</v>
      </c>
      <c r="B1405" s="1" t="s">
        <v>10</v>
      </c>
      <c r="C1405" s="1" t="s">
        <v>24</v>
      </c>
      <c r="D1405" s="1" t="s">
        <v>27</v>
      </c>
      <c r="E1405" s="10">
        <v>16</v>
      </c>
      <c r="F1405" s="10">
        <v>807</v>
      </c>
      <c r="G1405" s="1" t="s">
        <v>35</v>
      </c>
      <c r="H1405" s="10">
        <f t="shared" si="43"/>
        <v>12912</v>
      </c>
      <c r="I1405" s="7">
        <v>8658.1501331341497</v>
      </c>
      <c r="J1405" s="7">
        <f t="shared" si="44"/>
        <v>4253.8498668658503</v>
      </c>
      <c r="K1405" s="1">
        <f>IF(B1405="North",28.6,
IF(B1405="South",13,
IF(B1405="East",22.6,
IF(B1405="West",19,
23.5))))</f>
        <v>28.6</v>
      </c>
      <c r="L1405" s="1">
        <f>IF(B1405="North",77.2,
IF(B1405="South",80.2,
IF(B1405="East",88.4,
IF(B1405="West",72.8,
78.9))))</f>
        <v>77.2</v>
      </c>
    </row>
    <row r="1406" spans="1:12" x14ac:dyDescent="0.25">
      <c r="A1406" s="5">
        <v>45628</v>
      </c>
      <c r="B1406" s="1" t="s">
        <v>12</v>
      </c>
      <c r="C1406" s="1" t="s">
        <v>19</v>
      </c>
      <c r="D1406" s="1" t="s">
        <v>26</v>
      </c>
      <c r="E1406" s="10">
        <v>17</v>
      </c>
      <c r="F1406" s="10">
        <v>701</v>
      </c>
      <c r="G1406" s="1" t="s">
        <v>35</v>
      </c>
      <c r="H1406" s="10">
        <f t="shared" si="43"/>
        <v>11917</v>
      </c>
      <c r="I1406" s="7">
        <v>10164.74717034244</v>
      </c>
      <c r="J1406" s="7">
        <f t="shared" si="44"/>
        <v>1752.2528296575601</v>
      </c>
      <c r="K1406" s="1">
        <f>IF(B1406="North",28.6,
IF(B1406="South",13,
IF(B1406="East",22.6,
IF(B1406="West",19,
23.5))))</f>
        <v>22.6</v>
      </c>
      <c r="L1406" s="1">
        <f>IF(B1406="North",77.2,
IF(B1406="South",80.2,
IF(B1406="East",88.4,
IF(B1406="West",72.8,
78.9))))</f>
        <v>88.4</v>
      </c>
    </row>
    <row r="1407" spans="1:12" x14ac:dyDescent="0.25">
      <c r="A1407" s="5">
        <v>45656</v>
      </c>
      <c r="B1407" s="1" t="s">
        <v>12</v>
      </c>
      <c r="C1407" s="1" t="s">
        <v>24</v>
      </c>
      <c r="D1407" s="1" t="s">
        <v>29</v>
      </c>
      <c r="E1407" s="10">
        <v>3</v>
      </c>
      <c r="F1407" s="10">
        <v>1746</v>
      </c>
      <c r="G1407" s="1" t="s">
        <v>35</v>
      </c>
      <c r="H1407" s="10">
        <f t="shared" si="43"/>
        <v>5238</v>
      </c>
      <c r="I1407" s="7">
        <v>4483.3666433650433</v>
      </c>
      <c r="J1407" s="7">
        <f t="shared" si="44"/>
        <v>754.63335663495673</v>
      </c>
      <c r="K1407" s="1">
        <f>IF(B1407="North",28.6,
IF(B1407="South",13,
IF(B1407="East",22.6,
IF(B1407="West",19,
23.5))))</f>
        <v>22.6</v>
      </c>
      <c r="L1407" s="1">
        <f>IF(B1407="North",77.2,
IF(B1407="South",80.2,
IF(B1407="East",88.4,
IF(B1407="West",72.8,
78.9))))</f>
        <v>88.4</v>
      </c>
    </row>
    <row r="1408" spans="1:12" x14ac:dyDescent="0.25">
      <c r="A1408" s="5">
        <v>45492</v>
      </c>
      <c r="B1408" s="1" t="s">
        <v>13</v>
      </c>
      <c r="C1408" s="1" t="s">
        <v>18</v>
      </c>
      <c r="D1408" s="1" t="s">
        <v>31</v>
      </c>
      <c r="E1408" s="10">
        <v>10</v>
      </c>
      <c r="F1408" s="10">
        <v>1482</v>
      </c>
      <c r="G1408" s="1" t="s">
        <v>34</v>
      </c>
      <c r="H1408" s="10">
        <f t="shared" si="43"/>
        <v>14820</v>
      </c>
      <c r="I1408" s="7">
        <v>12149.9664331321</v>
      </c>
      <c r="J1408" s="7">
        <f t="shared" si="44"/>
        <v>2670.0335668678999</v>
      </c>
      <c r="K1408" s="1">
        <f>IF(B1408="North",28.6,
IF(B1408="South",13,
IF(B1408="East",22.6,
IF(B1408="West",19,
23.5))))</f>
        <v>13</v>
      </c>
      <c r="L1408" s="1">
        <f>IF(B1408="North",77.2,
IF(B1408="South",80.2,
IF(B1408="East",88.4,
IF(B1408="West",72.8,
78.9))))</f>
        <v>80.2</v>
      </c>
    </row>
    <row r="1409" spans="1:12" x14ac:dyDescent="0.25">
      <c r="A1409" s="5">
        <v>45445</v>
      </c>
      <c r="B1409" s="1" t="s">
        <v>12</v>
      </c>
      <c r="C1409" s="1" t="s">
        <v>20</v>
      </c>
      <c r="D1409" s="1" t="s">
        <v>26</v>
      </c>
      <c r="E1409" s="10">
        <v>5</v>
      </c>
      <c r="F1409" s="10">
        <v>244</v>
      </c>
      <c r="G1409" s="1" t="s">
        <v>33</v>
      </c>
      <c r="H1409" s="10">
        <f t="shared" si="43"/>
        <v>1220</v>
      </c>
      <c r="I1409" s="7">
        <v>957.13837964168647</v>
      </c>
      <c r="J1409" s="7">
        <f t="shared" si="44"/>
        <v>262.86162035831353</v>
      </c>
      <c r="K1409" s="1">
        <f>IF(B1409="North",28.6,
IF(B1409="South",13,
IF(B1409="East",22.6,
IF(B1409="West",19,
23.5))))</f>
        <v>22.6</v>
      </c>
      <c r="L1409" s="1">
        <f>IF(B1409="North",77.2,
IF(B1409="South",80.2,
IF(B1409="East",88.4,
IF(B1409="West",72.8,
78.9))))</f>
        <v>88.4</v>
      </c>
    </row>
    <row r="1410" spans="1:12" x14ac:dyDescent="0.25">
      <c r="A1410" s="5">
        <v>45364</v>
      </c>
      <c r="B1410" s="1" t="s">
        <v>11</v>
      </c>
      <c r="C1410" s="1" t="s">
        <v>22</v>
      </c>
      <c r="D1410" s="1" t="s">
        <v>31</v>
      </c>
      <c r="E1410" s="10">
        <v>14</v>
      </c>
      <c r="F1410" s="10">
        <v>374</v>
      </c>
      <c r="G1410" s="1" t="s">
        <v>35</v>
      </c>
      <c r="H1410" s="10">
        <f t="shared" si="43"/>
        <v>5236</v>
      </c>
      <c r="I1410" s="7">
        <v>4504.7283879240076</v>
      </c>
      <c r="J1410" s="7">
        <f t="shared" si="44"/>
        <v>731.27161207599238</v>
      </c>
      <c r="K1410" s="1">
        <f>IF(B1410="North",28.6,
IF(B1410="South",13,
IF(B1410="East",22.6,
IF(B1410="West",19,
23.5))))</f>
        <v>19</v>
      </c>
      <c r="L1410" s="1">
        <f>IF(B1410="North",77.2,
IF(B1410="South",80.2,
IF(B1410="East",88.4,
IF(B1410="West",72.8,
78.9))))</f>
        <v>72.8</v>
      </c>
    </row>
    <row r="1411" spans="1:12" x14ac:dyDescent="0.25">
      <c r="A1411" s="5">
        <v>45492</v>
      </c>
      <c r="B1411" s="1" t="s">
        <v>13</v>
      </c>
      <c r="C1411" s="1" t="s">
        <v>24</v>
      </c>
      <c r="D1411" s="1" t="s">
        <v>31</v>
      </c>
      <c r="E1411" s="10">
        <v>13</v>
      </c>
      <c r="F1411" s="10">
        <v>608</v>
      </c>
      <c r="G1411" s="1" t="s">
        <v>35</v>
      </c>
      <c r="H1411" s="10">
        <f t="shared" ref="H1411:H1474" si="46">E1411*F1411</f>
        <v>7904</v>
      </c>
      <c r="I1411" s="7">
        <v>5129.5972363526116</v>
      </c>
      <c r="J1411" s="7">
        <f t="shared" ref="J1411:J1474" si="47">H1411-I1411</f>
        <v>2774.4027636473884</v>
      </c>
      <c r="K1411" s="1">
        <f>IF(B1411="North",28.6,
IF(B1411="South",13,
IF(B1411="East",22.6,
IF(B1411="West",19,
23.5))))</f>
        <v>13</v>
      </c>
      <c r="L1411" s="1">
        <f>IF(B1411="North",77.2,
IF(B1411="South",80.2,
IF(B1411="East",88.4,
IF(B1411="West",72.8,
78.9))))</f>
        <v>80.2</v>
      </c>
    </row>
    <row r="1412" spans="1:12" x14ac:dyDescent="0.25">
      <c r="A1412" s="5">
        <v>45587</v>
      </c>
      <c r="B1412" s="1" t="s">
        <v>10</v>
      </c>
      <c r="C1412" s="1" t="s">
        <v>22</v>
      </c>
      <c r="D1412" s="1" t="s">
        <v>26</v>
      </c>
      <c r="E1412" s="10">
        <v>6</v>
      </c>
      <c r="F1412" s="10">
        <v>1302</v>
      </c>
      <c r="G1412" s="1" t="s">
        <v>35</v>
      </c>
      <c r="H1412" s="10">
        <f t="shared" si="46"/>
        <v>7812</v>
      </c>
      <c r="I1412" s="7">
        <v>6870.4980560999038</v>
      </c>
      <c r="J1412" s="7">
        <f t="shared" si="47"/>
        <v>941.50194390009619</v>
      </c>
      <c r="K1412" s="1">
        <f>IF(B1412="North",28.6,
IF(B1412="South",13,
IF(B1412="East",22.6,
IF(B1412="West",19,
23.5))))</f>
        <v>28.6</v>
      </c>
      <c r="L1412" s="1">
        <f>IF(B1412="North",77.2,
IF(B1412="South",80.2,
IF(B1412="East",88.4,
IF(B1412="West",72.8,
78.9))))</f>
        <v>77.2</v>
      </c>
    </row>
    <row r="1413" spans="1:12" x14ac:dyDescent="0.25">
      <c r="A1413" s="5">
        <v>45308</v>
      </c>
      <c r="B1413" s="1" t="s">
        <v>11</v>
      </c>
      <c r="C1413" s="1" t="s">
        <v>22</v>
      </c>
      <c r="D1413" s="1" t="s">
        <v>29</v>
      </c>
      <c r="E1413" s="10">
        <v>12</v>
      </c>
      <c r="F1413" s="10">
        <v>852</v>
      </c>
      <c r="G1413" s="1" t="s">
        <v>35</v>
      </c>
      <c r="H1413" s="10">
        <f t="shared" si="46"/>
        <v>10224</v>
      </c>
      <c r="I1413" s="7">
        <v>9039.6614992586547</v>
      </c>
      <c r="J1413" s="7">
        <f t="shared" si="47"/>
        <v>1184.3385007413453</v>
      </c>
      <c r="K1413" s="1">
        <f>IF(B1413="North",28.6,
IF(B1413="South",13,
IF(B1413="East",22.6,
IF(B1413="West",19,
23.5))))</f>
        <v>19</v>
      </c>
      <c r="L1413" s="1">
        <f>IF(B1413="North",77.2,
IF(B1413="South",80.2,
IF(B1413="East",88.4,
IF(B1413="West",72.8,
78.9))))</f>
        <v>72.8</v>
      </c>
    </row>
    <row r="1414" spans="1:12" x14ac:dyDescent="0.25">
      <c r="A1414" s="5">
        <v>45420</v>
      </c>
      <c r="B1414" s="1" t="s">
        <v>10</v>
      </c>
      <c r="C1414" s="1" t="s">
        <v>19</v>
      </c>
      <c r="D1414" s="1" t="s">
        <v>25</v>
      </c>
      <c r="E1414" s="10">
        <v>8</v>
      </c>
      <c r="F1414" s="10">
        <v>1961</v>
      </c>
      <c r="G1414" s="1" t="s">
        <v>35</v>
      </c>
      <c r="H1414" s="10">
        <f t="shared" si="46"/>
        <v>15688</v>
      </c>
      <c r="I1414" s="7">
        <v>13516.74490898011</v>
      </c>
      <c r="J1414" s="7">
        <f t="shared" si="47"/>
        <v>2171.2550910198897</v>
      </c>
      <c r="K1414" s="1">
        <f>IF(B1414="North",28.6,
IF(B1414="South",13,
IF(B1414="East",22.6,
IF(B1414="West",19,
23.5))))</f>
        <v>28.6</v>
      </c>
      <c r="L1414" s="1">
        <f>IF(B1414="North",77.2,
IF(B1414="South",80.2,
IF(B1414="East",88.4,
IF(B1414="West",72.8,
78.9))))</f>
        <v>77.2</v>
      </c>
    </row>
    <row r="1415" spans="1:12" x14ac:dyDescent="0.25">
      <c r="A1415" s="5">
        <v>45508</v>
      </c>
      <c r="B1415" s="1" t="s">
        <v>12</v>
      </c>
      <c r="C1415" s="1" t="s">
        <v>19</v>
      </c>
      <c r="D1415" s="1" t="s">
        <v>26</v>
      </c>
      <c r="E1415" s="10">
        <v>5</v>
      </c>
      <c r="F1415" s="10">
        <v>1954</v>
      </c>
      <c r="G1415" s="1" t="s">
        <v>35</v>
      </c>
      <c r="H1415" s="10">
        <f t="shared" si="46"/>
        <v>9770</v>
      </c>
      <c r="I1415" s="7">
        <v>6596.6904237393101</v>
      </c>
      <c r="J1415" s="7">
        <f t="shared" si="47"/>
        <v>3173.3095762606899</v>
      </c>
      <c r="K1415" s="1">
        <f>IF(B1415="North",28.6,
IF(B1415="South",13,
IF(B1415="East",22.6,
IF(B1415="West",19,
23.5))))</f>
        <v>22.6</v>
      </c>
      <c r="L1415" s="1">
        <f>IF(B1415="North",77.2,
IF(B1415="South",80.2,
IF(B1415="East",88.4,
IF(B1415="West",72.8,
78.9))))</f>
        <v>88.4</v>
      </c>
    </row>
    <row r="1416" spans="1:12" x14ac:dyDescent="0.25">
      <c r="A1416" s="5">
        <v>45352</v>
      </c>
      <c r="B1416" s="1" t="s">
        <v>11</v>
      </c>
      <c r="C1416" s="1" t="s">
        <v>20</v>
      </c>
      <c r="D1416" s="1" t="s">
        <v>27</v>
      </c>
      <c r="E1416" s="10">
        <v>15</v>
      </c>
      <c r="F1416" s="10">
        <v>576</v>
      </c>
      <c r="G1416" s="1" t="s">
        <v>33</v>
      </c>
      <c r="H1416" s="10">
        <f t="shared" si="46"/>
        <v>8640</v>
      </c>
      <c r="I1416" s="7">
        <v>7408.3983773171503</v>
      </c>
      <c r="J1416" s="7">
        <f t="shared" si="47"/>
        <v>1231.6016226828497</v>
      </c>
      <c r="K1416" s="1">
        <f>IF(B1416="North",28.6,
IF(B1416="South",13,
IF(B1416="East",22.6,
IF(B1416="West",19,
23.5))))</f>
        <v>19</v>
      </c>
      <c r="L1416" s="1">
        <f>IF(B1416="North",77.2,
IF(B1416="South",80.2,
IF(B1416="East",88.4,
IF(B1416="West",72.8,
78.9))))</f>
        <v>72.8</v>
      </c>
    </row>
    <row r="1417" spans="1:12" x14ac:dyDescent="0.25">
      <c r="A1417" s="5">
        <v>45395</v>
      </c>
      <c r="B1417" s="1" t="s">
        <v>11</v>
      </c>
      <c r="C1417" s="1" t="s">
        <v>17</v>
      </c>
      <c r="D1417" s="1" t="s">
        <v>32</v>
      </c>
      <c r="E1417" s="10">
        <v>16</v>
      </c>
      <c r="F1417" s="10">
        <v>1966</v>
      </c>
      <c r="G1417" s="1" t="s">
        <v>33</v>
      </c>
      <c r="H1417" s="10">
        <f t="shared" si="46"/>
        <v>31456</v>
      </c>
      <c r="I1417" s="7">
        <v>23569.712277469931</v>
      </c>
      <c r="J1417" s="7">
        <f t="shared" si="47"/>
        <v>7886.287722530069</v>
      </c>
      <c r="K1417" s="1">
        <f>IF(B1417="North",28.6,
IF(B1417="South",13,
IF(B1417="East",22.6,
IF(B1417="West",19,
23.5))))</f>
        <v>19</v>
      </c>
      <c r="L1417" s="1">
        <f>IF(B1417="North",77.2,
IF(B1417="South",80.2,
IF(B1417="East",88.4,
IF(B1417="West",72.8,
78.9))))</f>
        <v>72.8</v>
      </c>
    </row>
    <row r="1418" spans="1:12" x14ac:dyDescent="0.25">
      <c r="A1418" s="5">
        <v>45333</v>
      </c>
      <c r="B1418" s="1" t="s">
        <v>10</v>
      </c>
      <c r="C1418" s="1" t="s">
        <v>18</v>
      </c>
      <c r="D1418" s="1" t="s">
        <v>32</v>
      </c>
      <c r="E1418" s="10">
        <v>1</v>
      </c>
      <c r="F1418" s="10">
        <v>1537</v>
      </c>
      <c r="G1418" s="1" t="s">
        <v>34</v>
      </c>
      <c r="H1418" s="10">
        <f t="shared" si="46"/>
        <v>1537</v>
      </c>
      <c r="I1418" s="7">
        <v>1196.522332465521</v>
      </c>
      <c r="J1418" s="7">
        <f t="shared" si="47"/>
        <v>340.477667534479</v>
      </c>
      <c r="K1418" s="1">
        <f>IF(B1418="North",28.6,
IF(B1418="South",13,
IF(B1418="East",22.6,
IF(B1418="West",19,
23.5))))</f>
        <v>28.6</v>
      </c>
      <c r="L1418" s="1">
        <f>IF(B1418="North",77.2,
IF(B1418="South",80.2,
IF(B1418="East",88.4,
IF(B1418="West",72.8,
78.9))))</f>
        <v>77.2</v>
      </c>
    </row>
    <row r="1419" spans="1:12" x14ac:dyDescent="0.25">
      <c r="A1419" s="5">
        <v>45316</v>
      </c>
      <c r="B1419" s="1" t="s">
        <v>11</v>
      </c>
      <c r="C1419" s="1" t="s">
        <v>40</v>
      </c>
      <c r="D1419" s="1" t="s">
        <v>26</v>
      </c>
      <c r="E1419" s="10">
        <v>16</v>
      </c>
      <c r="F1419" s="10">
        <v>1276</v>
      </c>
      <c r="G1419" s="1" t="s">
        <v>34</v>
      </c>
      <c r="H1419" s="10">
        <f t="shared" si="46"/>
        <v>20416</v>
      </c>
      <c r="I1419" s="7">
        <v>17398.110692713391</v>
      </c>
      <c r="J1419" s="7">
        <f t="shared" si="47"/>
        <v>3017.8893072866085</v>
      </c>
      <c r="K1419" s="1">
        <f>IF(B1419="North",28.6,
IF(B1419="South",13,
IF(B1419="East",22.6,
IF(B1419="West",19,
23.5))))</f>
        <v>19</v>
      </c>
      <c r="L1419" s="1">
        <f>IF(B1419="North",77.2,
IF(B1419="South",80.2,
IF(B1419="East",88.4,
IF(B1419="West",72.8,
78.9))))</f>
        <v>72.8</v>
      </c>
    </row>
    <row r="1420" spans="1:12" x14ac:dyDescent="0.25">
      <c r="A1420" s="5">
        <v>45330</v>
      </c>
      <c r="B1420" s="1" t="s">
        <v>11</v>
      </c>
      <c r="C1420" s="1" t="s">
        <v>22</v>
      </c>
      <c r="D1420" s="1" t="s">
        <v>27</v>
      </c>
      <c r="E1420" s="10">
        <v>5</v>
      </c>
      <c r="F1420" s="10">
        <v>1227</v>
      </c>
      <c r="G1420" s="1" t="s">
        <v>35</v>
      </c>
      <c r="H1420" s="10">
        <f t="shared" si="46"/>
        <v>6135</v>
      </c>
      <c r="I1420" s="7">
        <v>3735.4472253855101</v>
      </c>
      <c r="J1420" s="7">
        <f t="shared" si="47"/>
        <v>2399.5527746144899</v>
      </c>
      <c r="K1420" s="1">
        <f>IF(B1420="North",28.6,
IF(B1420="South",13,
IF(B1420="East",22.6,
IF(B1420="West",19,
23.5))))</f>
        <v>19</v>
      </c>
      <c r="L1420" s="1">
        <f>IF(B1420="North",77.2,
IF(B1420="South",80.2,
IF(B1420="East",88.4,
IF(B1420="West",72.8,
78.9))))</f>
        <v>72.8</v>
      </c>
    </row>
    <row r="1421" spans="1:12" x14ac:dyDescent="0.25">
      <c r="A1421" s="5">
        <v>45582</v>
      </c>
      <c r="B1421" s="1" t="s">
        <v>11</v>
      </c>
      <c r="C1421" s="1" t="s">
        <v>17</v>
      </c>
      <c r="D1421" s="1" t="s">
        <v>36</v>
      </c>
      <c r="E1421" s="10">
        <v>3</v>
      </c>
      <c r="F1421" s="10">
        <v>1198</v>
      </c>
      <c r="G1421" s="1" t="s">
        <v>33</v>
      </c>
      <c r="H1421" s="10">
        <f t="shared" si="46"/>
        <v>3594</v>
      </c>
      <c r="I1421" s="7">
        <v>2547.724702883781</v>
      </c>
      <c r="J1421" s="7">
        <f t="shared" si="47"/>
        <v>1046.275297116219</v>
      </c>
      <c r="K1421" s="1">
        <f>IF(B1421="North",28.6,
IF(B1421="South",13,
IF(B1421="East",22.6,
IF(B1421="West",19,
23.5))))</f>
        <v>19</v>
      </c>
      <c r="L1421" s="1">
        <f>IF(B1421="North",77.2,
IF(B1421="South",80.2,
IF(B1421="East",88.4,
IF(B1421="West",72.8,
78.9))))</f>
        <v>72.8</v>
      </c>
    </row>
    <row r="1422" spans="1:12" x14ac:dyDescent="0.25">
      <c r="A1422" s="5">
        <v>45422</v>
      </c>
      <c r="B1422" s="1" t="s">
        <v>12</v>
      </c>
      <c r="C1422" s="1" t="s">
        <v>23</v>
      </c>
      <c r="D1422" s="1" t="s">
        <v>32</v>
      </c>
      <c r="E1422" s="10">
        <v>15</v>
      </c>
      <c r="F1422" s="10">
        <v>1251</v>
      </c>
      <c r="G1422" s="1" t="s">
        <v>34</v>
      </c>
      <c r="H1422" s="10">
        <f t="shared" si="46"/>
        <v>18765</v>
      </c>
      <c r="I1422" s="7">
        <v>15850.945867197721</v>
      </c>
      <c r="J1422" s="7">
        <f t="shared" si="47"/>
        <v>2914.0541328022791</v>
      </c>
      <c r="K1422" s="1">
        <f>IF(B1422="North",28.6,
IF(B1422="South",13,
IF(B1422="East",22.6,
IF(B1422="West",19,
23.5))))</f>
        <v>22.6</v>
      </c>
      <c r="L1422" s="1">
        <f>IF(B1422="North",77.2,
IF(B1422="South",80.2,
IF(B1422="East",88.4,
IF(B1422="West",72.8,
78.9))))</f>
        <v>88.4</v>
      </c>
    </row>
    <row r="1423" spans="1:12" x14ac:dyDescent="0.25">
      <c r="A1423" s="5">
        <v>45520</v>
      </c>
      <c r="B1423" s="1" t="s">
        <v>10</v>
      </c>
      <c r="C1423" s="1" t="s">
        <v>23</v>
      </c>
      <c r="D1423" s="1" t="s">
        <v>27</v>
      </c>
      <c r="E1423" s="10">
        <v>13</v>
      </c>
      <c r="F1423" s="10">
        <v>1834</v>
      </c>
      <c r="G1423" s="1" t="s">
        <v>34</v>
      </c>
      <c r="H1423" s="10">
        <f t="shared" si="46"/>
        <v>23842</v>
      </c>
      <c r="I1423" s="7">
        <v>20127.09298662021</v>
      </c>
      <c r="J1423" s="7">
        <f t="shared" si="47"/>
        <v>3714.9070133797904</v>
      </c>
      <c r="K1423" s="1">
        <f>IF(B1423="North",28.6,
IF(B1423="South",13,
IF(B1423="East",22.6,
IF(B1423="West",19,
23.5))))</f>
        <v>28.6</v>
      </c>
      <c r="L1423" s="1">
        <f>IF(B1423="North",77.2,
IF(B1423="South",80.2,
IF(B1423="East",88.4,
IF(B1423="West",72.8,
78.9))))</f>
        <v>77.2</v>
      </c>
    </row>
    <row r="1424" spans="1:12" x14ac:dyDescent="0.25">
      <c r="A1424" s="5">
        <v>45399</v>
      </c>
      <c r="B1424" s="1" t="s">
        <v>11</v>
      </c>
      <c r="C1424" s="1" t="s">
        <v>40</v>
      </c>
      <c r="D1424" s="1" t="s">
        <v>25</v>
      </c>
      <c r="E1424" s="10">
        <v>10</v>
      </c>
      <c r="F1424" s="10">
        <v>765</v>
      </c>
      <c r="G1424" s="1" t="s">
        <v>34</v>
      </c>
      <c r="H1424" s="10">
        <f t="shared" si="46"/>
        <v>7650</v>
      </c>
      <c r="I1424" s="7">
        <f>H1424*0.7</f>
        <v>5355</v>
      </c>
      <c r="J1424" s="7">
        <f t="shared" si="47"/>
        <v>2295</v>
      </c>
      <c r="K1424" s="1">
        <f>IF(B1424="North",28.6,
IF(B1424="South",13,
IF(B1424="East",22.6,
IF(B1424="West",19,
23.5))))</f>
        <v>19</v>
      </c>
      <c r="L1424" s="1">
        <f>IF(B1424="North",77.2,
IF(B1424="South",80.2,
IF(B1424="East",88.4,
IF(B1424="West",72.8,
78.9))))</f>
        <v>72.8</v>
      </c>
    </row>
    <row r="1425" spans="1:12" x14ac:dyDescent="0.25">
      <c r="A1425" s="5">
        <v>45463</v>
      </c>
      <c r="B1425" s="1" t="s">
        <v>36</v>
      </c>
      <c r="C1425" s="1" t="s">
        <v>20</v>
      </c>
      <c r="D1425" s="1" t="s">
        <v>27</v>
      </c>
      <c r="E1425" s="10">
        <v>11</v>
      </c>
      <c r="F1425" s="10">
        <v>667</v>
      </c>
      <c r="G1425" s="1" t="s">
        <v>33</v>
      </c>
      <c r="H1425" s="10">
        <f t="shared" si="46"/>
        <v>7337</v>
      </c>
      <c r="I1425" s="7">
        <v>4774.6611177970344</v>
      </c>
      <c r="J1425" s="7">
        <f t="shared" si="47"/>
        <v>2562.3388822029656</v>
      </c>
      <c r="K1425" s="1">
        <f>IF(B1425="North",28.6,
IF(B1425="South",13,
IF(B1425="East",22.6,
IF(B1425="West",19,
23.5))))</f>
        <v>23.5</v>
      </c>
      <c r="L1425" s="1">
        <f>IF(B1425="North",77.2,
IF(B1425="South",80.2,
IF(B1425="East",88.4,
IF(B1425="West",72.8,
78.9))))</f>
        <v>78.900000000000006</v>
      </c>
    </row>
    <row r="1426" spans="1:12" x14ac:dyDescent="0.25">
      <c r="A1426" s="5">
        <v>45393</v>
      </c>
      <c r="B1426" s="1" t="s">
        <v>13</v>
      </c>
      <c r="C1426" s="1" t="s">
        <v>23</v>
      </c>
      <c r="D1426" s="1" t="s">
        <v>31</v>
      </c>
      <c r="E1426" s="10">
        <v>2</v>
      </c>
      <c r="F1426" s="10">
        <v>1913</v>
      </c>
      <c r="G1426" s="1" t="s">
        <v>34</v>
      </c>
      <c r="H1426" s="10">
        <f t="shared" si="46"/>
        <v>3826</v>
      </c>
      <c r="I1426" s="7">
        <v>3105.816660402053</v>
      </c>
      <c r="J1426" s="7">
        <f t="shared" si="47"/>
        <v>720.183339597947</v>
      </c>
      <c r="K1426" s="1">
        <f>IF(B1426="North",28.6,
IF(B1426="South",13,
IF(B1426="East",22.6,
IF(B1426="West",19,
23.5))))</f>
        <v>13</v>
      </c>
      <c r="L1426" s="1">
        <f>IF(B1426="North",77.2,
IF(B1426="South",80.2,
IF(B1426="East",88.4,
IF(B1426="West",72.8,
78.9))))</f>
        <v>80.2</v>
      </c>
    </row>
    <row r="1427" spans="1:12" x14ac:dyDescent="0.25">
      <c r="A1427" s="5">
        <v>45645</v>
      </c>
      <c r="B1427" s="1" t="s">
        <v>13</v>
      </c>
      <c r="C1427" s="1" t="s">
        <v>18</v>
      </c>
      <c r="D1427" s="1" t="s">
        <v>32</v>
      </c>
      <c r="E1427" s="10">
        <v>6</v>
      </c>
      <c r="F1427" s="10">
        <v>1468</v>
      </c>
      <c r="G1427" s="1" t="s">
        <v>34</v>
      </c>
      <c r="H1427" s="10">
        <f t="shared" si="46"/>
        <v>8808</v>
      </c>
      <c r="I1427" s="7">
        <v>5671.9204269515176</v>
      </c>
      <c r="J1427" s="7">
        <f t="shared" si="47"/>
        <v>3136.0795730484824</v>
      </c>
      <c r="K1427" s="1">
        <f>IF(B1427="North",28.6,
IF(B1427="South",13,
IF(B1427="East",22.6,
IF(B1427="West",19,
23.5))))</f>
        <v>13</v>
      </c>
      <c r="L1427" s="1">
        <f>IF(B1427="North",77.2,
IF(B1427="South",80.2,
IF(B1427="East",88.4,
IF(B1427="West",72.8,
78.9))))</f>
        <v>80.2</v>
      </c>
    </row>
    <row r="1428" spans="1:12" x14ac:dyDescent="0.25">
      <c r="A1428" s="5">
        <v>45303</v>
      </c>
      <c r="B1428" s="1" t="s">
        <v>13</v>
      </c>
      <c r="C1428" s="1" t="s">
        <v>23</v>
      </c>
      <c r="D1428" s="1" t="s">
        <v>25</v>
      </c>
      <c r="E1428" s="10">
        <v>6</v>
      </c>
      <c r="F1428" s="10">
        <v>630</v>
      </c>
      <c r="G1428" s="1" t="s">
        <v>34</v>
      </c>
      <c r="H1428" s="10">
        <f t="shared" si="46"/>
        <v>3780</v>
      </c>
      <c r="I1428" s="7">
        <v>3158.301142150463</v>
      </c>
      <c r="J1428" s="7">
        <f t="shared" si="47"/>
        <v>621.69885784953703</v>
      </c>
      <c r="K1428" s="1">
        <f>IF(B1428="North",28.6,
IF(B1428="South",13,
IF(B1428="East",22.6,
IF(B1428="West",19,
23.5))))</f>
        <v>13</v>
      </c>
      <c r="L1428" s="1">
        <f>IF(B1428="North",77.2,
IF(B1428="South",80.2,
IF(B1428="East",88.4,
IF(B1428="West",72.8,
78.9))))</f>
        <v>80.2</v>
      </c>
    </row>
    <row r="1429" spans="1:12" x14ac:dyDescent="0.25">
      <c r="A1429" s="5">
        <v>45566</v>
      </c>
      <c r="B1429" s="1" t="s">
        <v>12</v>
      </c>
      <c r="C1429" s="1" t="s">
        <v>22</v>
      </c>
      <c r="D1429" s="1" t="s">
        <v>32</v>
      </c>
      <c r="E1429" s="10">
        <v>14</v>
      </c>
      <c r="F1429" s="10">
        <v>258</v>
      </c>
      <c r="G1429" s="1" t="s">
        <v>35</v>
      </c>
      <c r="H1429" s="10">
        <f t="shared" si="46"/>
        <v>3612</v>
      </c>
      <c r="I1429" s="7">
        <v>2432.8185384269041</v>
      </c>
      <c r="J1429" s="7">
        <f t="shared" si="47"/>
        <v>1179.1814615730959</v>
      </c>
      <c r="K1429" s="1">
        <f>IF(B1429="North",28.6,
IF(B1429="South",13,
IF(B1429="East",22.6,
IF(B1429="West",19,
23.5))))</f>
        <v>22.6</v>
      </c>
      <c r="L1429" s="1">
        <f>IF(B1429="North",77.2,
IF(B1429="South",80.2,
IF(B1429="East",88.4,
IF(B1429="West",72.8,
78.9))))</f>
        <v>88.4</v>
      </c>
    </row>
    <row r="1430" spans="1:12" x14ac:dyDescent="0.25">
      <c r="A1430" s="5">
        <v>45392</v>
      </c>
      <c r="B1430" s="1" t="s">
        <v>11</v>
      </c>
      <c r="C1430" s="1" t="s">
        <v>22</v>
      </c>
      <c r="D1430" s="1" t="s">
        <v>31</v>
      </c>
      <c r="E1430" s="10">
        <v>11</v>
      </c>
      <c r="F1430" s="10">
        <v>1661</v>
      </c>
      <c r="G1430" s="1" t="s">
        <v>35</v>
      </c>
      <c r="H1430" s="10">
        <f t="shared" si="46"/>
        <v>18271</v>
      </c>
      <c r="I1430" s="7">
        <v>15006.80031022233</v>
      </c>
      <c r="J1430" s="7">
        <f t="shared" si="47"/>
        <v>3264.1996897776698</v>
      </c>
      <c r="K1430" s="1">
        <f>IF(B1430="North",28.6,
IF(B1430="South",13,
IF(B1430="East",22.6,
IF(B1430="West",19,
23.5))))</f>
        <v>19</v>
      </c>
      <c r="L1430" s="1">
        <f>IF(B1430="North",77.2,
IF(B1430="South",80.2,
IF(B1430="East",88.4,
IF(B1430="West",72.8,
78.9))))</f>
        <v>72.8</v>
      </c>
    </row>
    <row r="1431" spans="1:12" x14ac:dyDescent="0.25">
      <c r="A1431" s="5">
        <v>45335</v>
      </c>
      <c r="B1431" s="1" t="s">
        <v>10</v>
      </c>
      <c r="C1431" s="1" t="s">
        <v>21</v>
      </c>
      <c r="D1431" s="1" t="s">
        <v>26</v>
      </c>
      <c r="E1431" s="10">
        <v>8</v>
      </c>
      <c r="F1431" s="10">
        <v>1549</v>
      </c>
      <c r="G1431" s="1" t="s">
        <v>35</v>
      </c>
      <c r="H1431" s="10">
        <f t="shared" si="46"/>
        <v>12392</v>
      </c>
      <c r="I1431" s="7">
        <v>9126.7140170395905</v>
      </c>
      <c r="J1431" s="7">
        <f t="shared" si="47"/>
        <v>3265.2859829604095</v>
      </c>
      <c r="K1431" s="1">
        <f>IF(B1431="North",28.6,
IF(B1431="South",13,
IF(B1431="East",22.6,
IF(B1431="West",19,
23.5))))</f>
        <v>28.6</v>
      </c>
      <c r="L1431" s="1">
        <f>IF(B1431="North",77.2,
IF(B1431="South",80.2,
IF(B1431="East",88.4,
IF(B1431="West",72.8,
78.9))))</f>
        <v>77.2</v>
      </c>
    </row>
    <row r="1432" spans="1:12" x14ac:dyDescent="0.25">
      <c r="A1432" s="5">
        <v>45596</v>
      </c>
      <c r="B1432" s="1" t="s">
        <v>11</v>
      </c>
      <c r="C1432" s="1" t="s">
        <v>17</v>
      </c>
      <c r="D1432" s="1" t="s">
        <v>31</v>
      </c>
      <c r="E1432" s="10">
        <v>8</v>
      </c>
      <c r="F1432" s="10">
        <v>780</v>
      </c>
      <c r="G1432" s="1" t="s">
        <v>33</v>
      </c>
      <c r="H1432" s="10">
        <f t="shared" si="46"/>
        <v>6240</v>
      </c>
      <c r="I1432" s="7">
        <v>5590.2852056427901</v>
      </c>
      <c r="J1432" s="7">
        <f t="shared" si="47"/>
        <v>649.71479435720994</v>
      </c>
      <c r="K1432" s="1">
        <f>IF(B1432="North",28.6,
IF(B1432="South",13,
IF(B1432="East",22.6,
IF(B1432="West",19,
23.5))))</f>
        <v>19</v>
      </c>
      <c r="L1432" s="1">
        <f>IF(B1432="North",77.2,
IF(B1432="South",80.2,
IF(B1432="East",88.4,
IF(B1432="West",72.8,
78.9))))</f>
        <v>72.8</v>
      </c>
    </row>
    <row r="1433" spans="1:12" x14ac:dyDescent="0.25">
      <c r="A1433" s="5">
        <v>45308</v>
      </c>
      <c r="B1433" s="1" t="s">
        <v>12</v>
      </c>
      <c r="C1433" s="1" t="s">
        <v>24</v>
      </c>
      <c r="D1433" s="1" t="s">
        <v>32</v>
      </c>
      <c r="E1433" s="10">
        <v>1</v>
      </c>
      <c r="F1433" s="10">
        <v>122</v>
      </c>
      <c r="G1433" s="1" t="s">
        <v>35</v>
      </c>
      <c r="H1433" s="10">
        <f t="shared" si="46"/>
        <v>122</v>
      </c>
      <c r="I1433" s="7">
        <v>94.424114205423678</v>
      </c>
      <c r="J1433" s="7">
        <f t="shared" si="47"/>
        <v>27.575885794576322</v>
      </c>
      <c r="K1433" s="1">
        <f>IF(B1433="North",28.6,
IF(B1433="South",13,
IF(B1433="East",22.6,
IF(B1433="West",19,
23.5))))</f>
        <v>22.6</v>
      </c>
      <c r="L1433" s="1">
        <f>IF(B1433="North",77.2,
IF(B1433="South",80.2,
IF(B1433="East",88.4,
IF(B1433="West",72.8,
78.9))))</f>
        <v>88.4</v>
      </c>
    </row>
    <row r="1434" spans="1:12" x14ac:dyDescent="0.25">
      <c r="A1434" s="5">
        <v>45621</v>
      </c>
      <c r="B1434" s="1" t="s">
        <v>13</v>
      </c>
      <c r="C1434" s="1" t="s">
        <v>18</v>
      </c>
      <c r="D1434" s="1" t="s">
        <v>32</v>
      </c>
      <c r="E1434" s="10">
        <v>7</v>
      </c>
      <c r="F1434" s="10">
        <v>1170</v>
      </c>
      <c r="G1434" s="1" t="s">
        <v>34</v>
      </c>
      <c r="H1434" s="10">
        <f t="shared" si="46"/>
        <v>8190</v>
      </c>
      <c r="I1434" s="7">
        <v>6468.2474978892433</v>
      </c>
      <c r="J1434" s="7">
        <f t="shared" si="47"/>
        <v>1721.7525021107567</v>
      </c>
      <c r="K1434" s="1">
        <f>IF(B1434="North",28.6,
IF(B1434="South",13,
IF(B1434="East",22.6,
IF(B1434="West",19,
23.5))))</f>
        <v>13</v>
      </c>
      <c r="L1434" s="1">
        <f>IF(B1434="North",77.2,
IF(B1434="South",80.2,
IF(B1434="East",88.4,
IF(B1434="West",72.8,
78.9))))</f>
        <v>80.2</v>
      </c>
    </row>
    <row r="1435" spans="1:12" x14ac:dyDescent="0.25">
      <c r="A1435" s="5">
        <v>45348</v>
      </c>
      <c r="B1435" s="1" t="s">
        <v>12</v>
      </c>
      <c r="C1435" s="1" t="s">
        <v>19</v>
      </c>
      <c r="D1435" s="1" t="s">
        <v>29</v>
      </c>
      <c r="E1435" s="10">
        <v>6</v>
      </c>
      <c r="F1435" s="10">
        <v>624</v>
      </c>
      <c r="G1435" s="1" t="s">
        <v>35</v>
      </c>
      <c r="H1435" s="10">
        <f t="shared" si="46"/>
        <v>3744</v>
      </c>
      <c r="I1435" s="7">
        <v>2659.9212587577658</v>
      </c>
      <c r="J1435" s="7">
        <f t="shared" si="47"/>
        <v>1084.0787412422342</v>
      </c>
      <c r="K1435" s="1">
        <f>IF(B1435="North",28.6,
IF(B1435="South",13,
IF(B1435="East",22.6,
IF(B1435="West",19,
23.5))))</f>
        <v>22.6</v>
      </c>
      <c r="L1435" s="1">
        <f>IF(B1435="North",77.2,
IF(B1435="South",80.2,
IF(B1435="East",88.4,
IF(B1435="West",72.8,
78.9))))</f>
        <v>88.4</v>
      </c>
    </row>
    <row r="1436" spans="1:12" x14ac:dyDescent="0.25">
      <c r="A1436" s="5">
        <v>45602</v>
      </c>
      <c r="B1436" s="1" t="s">
        <v>11</v>
      </c>
      <c r="C1436" s="1" t="s">
        <v>18</v>
      </c>
      <c r="D1436" s="1" t="s">
        <v>25</v>
      </c>
      <c r="E1436" s="10">
        <v>8</v>
      </c>
      <c r="F1436" s="10">
        <v>828</v>
      </c>
      <c r="G1436" s="1" t="s">
        <v>34</v>
      </c>
      <c r="H1436" s="10">
        <f t="shared" si="46"/>
        <v>6624</v>
      </c>
      <c r="I1436" s="7">
        <v>5434.0384576744191</v>
      </c>
      <c r="J1436" s="7">
        <f t="shared" si="47"/>
        <v>1189.9615423255809</v>
      </c>
      <c r="K1436" s="1">
        <f>IF(B1436="North",28.6,
IF(B1436="South",13,
IF(B1436="East",22.6,
IF(B1436="West",19,
23.5))))</f>
        <v>19</v>
      </c>
      <c r="L1436" s="1">
        <f>IF(B1436="North",77.2,
IF(B1436="South",80.2,
IF(B1436="East",88.4,
IF(B1436="West",72.8,
78.9))))</f>
        <v>72.8</v>
      </c>
    </row>
    <row r="1437" spans="1:12" x14ac:dyDescent="0.25">
      <c r="A1437" s="5">
        <v>45594</v>
      </c>
      <c r="B1437" s="1" t="s">
        <v>10</v>
      </c>
      <c r="C1437" s="1" t="s">
        <v>24</v>
      </c>
      <c r="D1437" s="1" t="s">
        <v>26</v>
      </c>
      <c r="E1437" s="10">
        <v>19</v>
      </c>
      <c r="F1437" s="10">
        <v>1957</v>
      </c>
      <c r="G1437" s="1" t="s">
        <v>35</v>
      </c>
      <c r="H1437" s="10">
        <f t="shared" si="46"/>
        <v>37183</v>
      </c>
      <c r="I1437" s="7">
        <v>27830.199837960321</v>
      </c>
      <c r="J1437" s="7">
        <f t="shared" si="47"/>
        <v>9352.800162039679</v>
      </c>
      <c r="K1437" s="1">
        <f>IF(B1437="North",28.6,
IF(B1437="South",13,
IF(B1437="East",22.6,
IF(B1437="West",19,
23.5))))</f>
        <v>28.6</v>
      </c>
      <c r="L1437" s="1">
        <f>IF(B1437="North",77.2,
IF(B1437="South",80.2,
IF(B1437="East",88.4,
IF(B1437="West",72.8,
78.9))))</f>
        <v>77.2</v>
      </c>
    </row>
    <row r="1438" spans="1:12" x14ac:dyDescent="0.25">
      <c r="A1438" s="5">
        <v>45303</v>
      </c>
      <c r="B1438" s="1" t="s">
        <v>12</v>
      </c>
      <c r="C1438" s="1" t="s">
        <v>17</v>
      </c>
      <c r="D1438" s="1" t="s">
        <v>31</v>
      </c>
      <c r="E1438" s="10">
        <v>8</v>
      </c>
      <c r="F1438" s="10">
        <v>1829</v>
      </c>
      <c r="G1438" s="1" t="s">
        <v>33</v>
      </c>
      <c r="H1438" s="10">
        <f t="shared" si="46"/>
        <v>14632</v>
      </c>
      <c r="I1438" s="7">
        <v>8858.5053014168061</v>
      </c>
      <c r="J1438" s="7">
        <f t="shared" si="47"/>
        <v>5773.4946985831939</v>
      </c>
      <c r="K1438" s="1">
        <f>IF(B1438="North",28.6,
IF(B1438="South",13,
IF(B1438="East",22.6,
IF(B1438="West",19,
23.5))))</f>
        <v>22.6</v>
      </c>
      <c r="L1438" s="1">
        <f>IF(B1438="North",77.2,
IF(B1438="South",80.2,
IF(B1438="East",88.4,
IF(B1438="West",72.8,
78.9))))</f>
        <v>88.4</v>
      </c>
    </row>
    <row r="1439" spans="1:12" x14ac:dyDescent="0.25">
      <c r="A1439" s="5">
        <v>45609</v>
      </c>
      <c r="B1439" s="1" t="s">
        <v>10</v>
      </c>
      <c r="C1439" s="1" t="s">
        <v>19</v>
      </c>
      <c r="D1439" s="1" t="s">
        <v>25</v>
      </c>
      <c r="E1439" s="10">
        <v>14</v>
      </c>
      <c r="F1439" s="10">
        <v>243</v>
      </c>
      <c r="G1439" s="1" t="s">
        <v>35</v>
      </c>
      <c r="H1439" s="10">
        <f t="shared" si="46"/>
        <v>3402</v>
      </c>
      <c r="I1439" s="7">
        <v>2662.3183787918829</v>
      </c>
      <c r="J1439" s="7">
        <f t="shared" si="47"/>
        <v>739.68162120811712</v>
      </c>
      <c r="K1439" s="1">
        <f>IF(B1439="North",28.6,
IF(B1439="South",13,
IF(B1439="East",22.6,
IF(B1439="West",19,
23.5))))</f>
        <v>28.6</v>
      </c>
      <c r="L1439" s="1">
        <f>IF(B1439="North",77.2,
IF(B1439="South",80.2,
IF(B1439="East",88.4,
IF(B1439="West",72.8,
78.9))))</f>
        <v>77.2</v>
      </c>
    </row>
    <row r="1440" spans="1:12" x14ac:dyDescent="0.25">
      <c r="A1440" s="5">
        <v>45371</v>
      </c>
      <c r="B1440" s="1" t="s">
        <v>12</v>
      </c>
      <c r="C1440" s="1" t="s">
        <v>24</v>
      </c>
      <c r="D1440" s="1" t="s">
        <v>30</v>
      </c>
      <c r="E1440" s="10">
        <v>18</v>
      </c>
      <c r="F1440" s="10">
        <v>1708</v>
      </c>
      <c r="G1440" s="1" t="s">
        <v>35</v>
      </c>
      <c r="H1440" s="10">
        <f t="shared" si="46"/>
        <v>30744</v>
      </c>
      <c r="I1440" s="7">
        <v>26105.894894448091</v>
      </c>
      <c r="J1440" s="7">
        <f t="shared" si="47"/>
        <v>4638.1051055519092</v>
      </c>
      <c r="K1440" s="1">
        <f>IF(B1440="North",28.6,
IF(B1440="South",13,
IF(B1440="East",22.6,
IF(B1440="West",19,
23.5))))</f>
        <v>22.6</v>
      </c>
      <c r="L1440" s="1">
        <f>IF(B1440="North",77.2,
IF(B1440="South",80.2,
IF(B1440="East",88.4,
IF(B1440="West",72.8,
78.9))))</f>
        <v>88.4</v>
      </c>
    </row>
    <row r="1441" spans="1:12" x14ac:dyDescent="0.25">
      <c r="A1441" s="5">
        <v>45507</v>
      </c>
      <c r="B1441" s="1" t="s">
        <v>10</v>
      </c>
      <c r="C1441" s="1" t="s">
        <v>21</v>
      </c>
      <c r="D1441" s="1" t="s">
        <v>25</v>
      </c>
      <c r="E1441" s="10">
        <v>16</v>
      </c>
      <c r="F1441" s="10">
        <v>767</v>
      </c>
      <c r="G1441" s="1" t="s">
        <v>35</v>
      </c>
      <c r="H1441" s="10">
        <f t="shared" si="46"/>
        <v>12272</v>
      </c>
      <c r="I1441" s="7">
        <v>8235.0093966545555</v>
      </c>
      <c r="J1441" s="7">
        <f t="shared" si="47"/>
        <v>4036.9906033454445</v>
      </c>
      <c r="K1441" s="1">
        <f>IF(B1441="North",28.6,
IF(B1441="South",13,
IF(B1441="East",22.6,
IF(B1441="West",19,
23.5))))</f>
        <v>28.6</v>
      </c>
      <c r="L1441" s="1">
        <f>IF(B1441="North",77.2,
IF(B1441="South",80.2,
IF(B1441="East",88.4,
IF(B1441="West",72.8,
78.9))))</f>
        <v>77.2</v>
      </c>
    </row>
    <row r="1442" spans="1:12" x14ac:dyDescent="0.25">
      <c r="A1442" s="5">
        <v>45630</v>
      </c>
      <c r="B1442" s="1" t="s">
        <v>10</v>
      </c>
      <c r="C1442" s="1" t="s">
        <v>19</v>
      </c>
      <c r="D1442" s="1" t="s">
        <v>30</v>
      </c>
      <c r="E1442" s="10">
        <v>9</v>
      </c>
      <c r="F1442" s="10">
        <v>1712</v>
      </c>
      <c r="G1442" s="1" t="s">
        <v>35</v>
      </c>
      <c r="H1442" s="10">
        <f t="shared" si="46"/>
        <v>15408</v>
      </c>
      <c r="I1442" s="7">
        <v>10266.645101505759</v>
      </c>
      <c r="J1442" s="7">
        <f t="shared" si="47"/>
        <v>5141.3548984942408</v>
      </c>
      <c r="K1442" s="1">
        <f>IF(B1442="North",28.6,
IF(B1442="South",13,
IF(B1442="East",22.6,
IF(B1442="West",19,
23.5))))</f>
        <v>28.6</v>
      </c>
      <c r="L1442" s="1">
        <f>IF(B1442="North",77.2,
IF(B1442="South",80.2,
IF(B1442="East",88.4,
IF(B1442="West",72.8,
78.9))))</f>
        <v>77.2</v>
      </c>
    </row>
    <row r="1443" spans="1:12" x14ac:dyDescent="0.25">
      <c r="A1443" s="5">
        <v>45555</v>
      </c>
      <c r="B1443" s="1" t="s">
        <v>13</v>
      </c>
      <c r="C1443" s="1" t="s">
        <v>22</v>
      </c>
      <c r="D1443" s="1" t="s">
        <v>26</v>
      </c>
      <c r="E1443" s="10">
        <v>15</v>
      </c>
      <c r="F1443" s="10">
        <v>1542</v>
      </c>
      <c r="G1443" s="1" t="s">
        <v>35</v>
      </c>
      <c r="H1443" s="10">
        <f t="shared" si="46"/>
        <v>23130</v>
      </c>
      <c r="I1443" s="7">
        <v>18103.06122466462</v>
      </c>
      <c r="J1443" s="7">
        <f t="shared" si="47"/>
        <v>5026.9387753353803</v>
      </c>
      <c r="K1443" s="1">
        <f>IF(B1443="North",28.6,
IF(B1443="South",13,
IF(B1443="East",22.6,
IF(B1443="West",19,
23.5))))</f>
        <v>13</v>
      </c>
      <c r="L1443" s="1">
        <f>IF(B1443="North",77.2,
IF(B1443="South",80.2,
IF(B1443="East",88.4,
IF(B1443="West",72.8,
78.9))))</f>
        <v>80.2</v>
      </c>
    </row>
    <row r="1444" spans="1:12" x14ac:dyDescent="0.25">
      <c r="A1444" s="5">
        <v>45440</v>
      </c>
      <c r="B1444" s="1" t="s">
        <v>10</v>
      </c>
      <c r="C1444" s="1" t="s">
        <v>24</v>
      </c>
      <c r="D1444" s="1" t="s">
        <v>31</v>
      </c>
      <c r="E1444" s="10">
        <v>10</v>
      </c>
      <c r="F1444" s="10">
        <v>780</v>
      </c>
      <c r="G1444" s="1" t="s">
        <v>35</v>
      </c>
      <c r="H1444" s="10">
        <f t="shared" si="46"/>
        <v>7800</v>
      </c>
      <c r="I1444" s="7">
        <v>6594.0715068356558</v>
      </c>
      <c r="J1444" s="7">
        <f t="shared" si="47"/>
        <v>1205.9284931643442</v>
      </c>
      <c r="K1444" s="1">
        <f>IF(B1444="North",28.6,
IF(B1444="South",13,
IF(B1444="East",22.6,
IF(B1444="West",19,
23.5))))</f>
        <v>28.6</v>
      </c>
      <c r="L1444" s="1">
        <f>IF(B1444="North",77.2,
IF(B1444="South",80.2,
IF(B1444="East",88.4,
IF(B1444="West",72.8,
78.9))))</f>
        <v>77.2</v>
      </c>
    </row>
    <row r="1445" spans="1:12" x14ac:dyDescent="0.25">
      <c r="A1445" s="5">
        <v>45372</v>
      </c>
      <c r="B1445" s="1" t="s">
        <v>13</v>
      </c>
      <c r="C1445" s="1" t="s">
        <v>18</v>
      </c>
      <c r="D1445" s="1" t="s">
        <v>31</v>
      </c>
      <c r="E1445" s="10">
        <v>16</v>
      </c>
      <c r="F1445" s="10">
        <v>1072</v>
      </c>
      <c r="G1445" s="1" t="s">
        <v>34</v>
      </c>
      <c r="H1445" s="10">
        <f t="shared" si="46"/>
        <v>17152</v>
      </c>
      <c r="I1445" s="7">
        <v>11575.6464104079</v>
      </c>
      <c r="J1445" s="7">
        <f t="shared" si="47"/>
        <v>5576.3535895920995</v>
      </c>
      <c r="K1445" s="1">
        <f>IF(B1445="North",28.6,
IF(B1445="South",13,
IF(B1445="East",22.6,
IF(B1445="West",19,
23.5))))</f>
        <v>13</v>
      </c>
      <c r="L1445" s="1">
        <f>IF(B1445="North",77.2,
IF(B1445="South",80.2,
IF(B1445="East",88.4,
IF(B1445="West",72.8,
78.9))))</f>
        <v>80.2</v>
      </c>
    </row>
    <row r="1446" spans="1:12" x14ac:dyDescent="0.25">
      <c r="A1446" s="5">
        <v>45506</v>
      </c>
      <c r="B1446" s="1" t="s">
        <v>11</v>
      </c>
      <c r="C1446" s="1" t="s">
        <v>19</v>
      </c>
      <c r="D1446" s="1" t="s">
        <v>27</v>
      </c>
      <c r="E1446" s="10">
        <v>4</v>
      </c>
      <c r="F1446" s="10">
        <v>898</v>
      </c>
      <c r="G1446" s="1" t="s">
        <v>35</v>
      </c>
      <c r="H1446" s="10">
        <f t="shared" si="46"/>
        <v>3592</v>
      </c>
      <c r="I1446" s="7">
        <v>3159.8062329794989</v>
      </c>
      <c r="J1446" s="7">
        <f t="shared" si="47"/>
        <v>432.19376702050113</v>
      </c>
      <c r="K1446" s="1">
        <f>IF(B1446="North",28.6,
IF(B1446="South",13,
IF(B1446="East",22.6,
IF(B1446="West",19,
23.5))))</f>
        <v>19</v>
      </c>
      <c r="L1446" s="1">
        <f>IF(B1446="North",77.2,
IF(B1446="South",80.2,
IF(B1446="East",88.4,
IF(B1446="West",72.8,
78.9))))</f>
        <v>72.8</v>
      </c>
    </row>
    <row r="1447" spans="1:12" x14ac:dyDescent="0.25">
      <c r="A1447" s="5">
        <v>45489</v>
      </c>
      <c r="B1447" s="1" t="s">
        <v>11</v>
      </c>
      <c r="C1447" s="1" t="s">
        <v>21</v>
      </c>
      <c r="D1447" s="1" t="s">
        <v>32</v>
      </c>
      <c r="E1447" s="10">
        <v>13</v>
      </c>
      <c r="F1447" s="10">
        <v>184</v>
      </c>
      <c r="G1447" s="1" t="s">
        <v>35</v>
      </c>
      <c r="H1447" s="10">
        <f t="shared" si="46"/>
        <v>2392</v>
      </c>
      <c r="I1447" s="7">
        <v>2100.6931671546799</v>
      </c>
      <c r="J1447" s="7">
        <f t="shared" si="47"/>
        <v>291.30683284532006</v>
      </c>
      <c r="K1447" s="1">
        <f>IF(B1447="North",28.6,
IF(B1447="South",13,
IF(B1447="East",22.6,
IF(B1447="West",19,
23.5))))</f>
        <v>19</v>
      </c>
      <c r="L1447" s="1">
        <f>IF(B1447="North",77.2,
IF(B1447="South",80.2,
IF(B1447="East",88.4,
IF(B1447="West",72.8,
78.9))))</f>
        <v>72.8</v>
      </c>
    </row>
    <row r="1448" spans="1:12" x14ac:dyDescent="0.25">
      <c r="A1448" s="5">
        <v>45491</v>
      </c>
      <c r="B1448" s="1" t="s">
        <v>13</v>
      </c>
      <c r="C1448" s="1" t="s">
        <v>18</v>
      </c>
      <c r="D1448" s="1" t="s">
        <v>28</v>
      </c>
      <c r="E1448" s="10">
        <v>5</v>
      </c>
      <c r="F1448" s="10">
        <v>515</v>
      </c>
      <c r="G1448" s="1" t="s">
        <v>34</v>
      </c>
      <c r="H1448" s="10">
        <f t="shared" si="46"/>
        <v>2575</v>
      </c>
      <c r="I1448" s="7">
        <v>1699.914579048879</v>
      </c>
      <c r="J1448" s="7">
        <f t="shared" si="47"/>
        <v>875.08542095112102</v>
      </c>
      <c r="K1448" s="1">
        <f>IF(B1448="North",28.6,
IF(B1448="South",13,
IF(B1448="East",22.6,
IF(B1448="West",19,
23.5))))</f>
        <v>13</v>
      </c>
      <c r="L1448" s="1">
        <f>IF(B1448="North",77.2,
IF(B1448="South",80.2,
IF(B1448="East",88.4,
IF(B1448="West",72.8,
78.9))))</f>
        <v>80.2</v>
      </c>
    </row>
    <row r="1449" spans="1:12" x14ac:dyDescent="0.25">
      <c r="A1449" s="5">
        <v>45316</v>
      </c>
      <c r="B1449" s="1" t="s">
        <v>13</v>
      </c>
      <c r="C1449" s="1" t="s">
        <v>23</v>
      </c>
      <c r="D1449" s="1" t="s">
        <v>29</v>
      </c>
      <c r="E1449" s="10">
        <v>7</v>
      </c>
      <c r="F1449" s="10">
        <v>793</v>
      </c>
      <c r="G1449" s="1" t="s">
        <v>34</v>
      </c>
      <c r="H1449" s="10">
        <f t="shared" si="46"/>
        <v>5551</v>
      </c>
      <c r="I1449" s="7">
        <v>3769.880181398215</v>
      </c>
      <c r="J1449" s="7">
        <f t="shared" si="47"/>
        <v>1781.119818601785</v>
      </c>
      <c r="K1449" s="1">
        <f>IF(B1449="North",28.6,
IF(B1449="South",13,
IF(B1449="East",22.6,
IF(B1449="West",19,
23.5))))</f>
        <v>13</v>
      </c>
      <c r="L1449" s="1">
        <f>IF(B1449="North",77.2,
IF(B1449="South",80.2,
IF(B1449="East",88.4,
IF(B1449="West",72.8,
78.9))))</f>
        <v>80.2</v>
      </c>
    </row>
    <row r="1450" spans="1:12" x14ac:dyDescent="0.25">
      <c r="A1450" s="5">
        <v>45380</v>
      </c>
      <c r="B1450" s="1" t="s">
        <v>12</v>
      </c>
      <c r="C1450" s="1" t="s">
        <v>19</v>
      </c>
      <c r="D1450" s="1" t="s">
        <v>25</v>
      </c>
      <c r="E1450" s="10">
        <v>9</v>
      </c>
      <c r="F1450" s="10">
        <v>581</v>
      </c>
      <c r="G1450" s="1" t="s">
        <v>35</v>
      </c>
      <c r="H1450" s="10">
        <f t="shared" si="46"/>
        <v>5229</v>
      </c>
      <c r="I1450" s="7">
        <v>4236.4293547343814</v>
      </c>
      <c r="J1450" s="7">
        <f t="shared" si="47"/>
        <v>992.57064526561862</v>
      </c>
      <c r="K1450" s="1">
        <f>IF(B1450="North",28.6,
IF(B1450="South",13,
IF(B1450="East",22.6,
IF(B1450="West",19,
23.5))))</f>
        <v>22.6</v>
      </c>
      <c r="L1450" s="1">
        <f>IF(B1450="North",77.2,
IF(B1450="South",80.2,
IF(B1450="East",88.4,
IF(B1450="West",72.8,
78.9))))</f>
        <v>88.4</v>
      </c>
    </row>
    <row r="1451" spans="1:12" x14ac:dyDescent="0.25">
      <c r="A1451" s="5">
        <v>45559</v>
      </c>
      <c r="B1451" s="1" t="s">
        <v>12</v>
      </c>
      <c r="C1451" s="1" t="s">
        <v>19</v>
      </c>
      <c r="D1451" s="1" t="s">
        <v>26</v>
      </c>
      <c r="E1451" s="10">
        <v>8</v>
      </c>
      <c r="F1451" s="10">
        <v>555</v>
      </c>
      <c r="G1451" s="1" t="s">
        <v>35</v>
      </c>
      <c r="H1451" s="10">
        <f t="shared" si="46"/>
        <v>4440</v>
      </c>
      <c r="I1451" s="7">
        <v>3931.7085012205348</v>
      </c>
      <c r="J1451" s="7">
        <f t="shared" si="47"/>
        <v>508.2914987794652</v>
      </c>
      <c r="K1451" s="1">
        <f>IF(B1451="North",28.6,
IF(B1451="South",13,
IF(B1451="East",22.6,
IF(B1451="West",19,
23.5))))</f>
        <v>22.6</v>
      </c>
      <c r="L1451" s="1">
        <f>IF(B1451="North",77.2,
IF(B1451="South",80.2,
IF(B1451="East",88.4,
IF(B1451="West",72.8,
78.9))))</f>
        <v>88.4</v>
      </c>
    </row>
    <row r="1452" spans="1:12" x14ac:dyDescent="0.25">
      <c r="A1452" s="5">
        <v>45434</v>
      </c>
      <c r="B1452" s="1" t="s">
        <v>12</v>
      </c>
      <c r="C1452" s="1" t="s">
        <v>21</v>
      </c>
      <c r="D1452" s="1" t="s">
        <v>28</v>
      </c>
      <c r="E1452" s="10">
        <v>16</v>
      </c>
      <c r="F1452" s="10">
        <v>926</v>
      </c>
      <c r="G1452" s="1" t="s">
        <v>35</v>
      </c>
      <c r="H1452" s="10">
        <f t="shared" si="46"/>
        <v>14816</v>
      </c>
      <c r="I1452" s="7">
        <v>12044.88657507296</v>
      </c>
      <c r="J1452" s="7">
        <f t="shared" si="47"/>
        <v>2771.1134249270399</v>
      </c>
      <c r="K1452" s="1">
        <f>IF(B1452="North",28.6,
IF(B1452="South",13,
IF(B1452="East",22.6,
IF(B1452="West",19,
23.5))))</f>
        <v>22.6</v>
      </c>
      <c r="L1452" s="1">
        <f>IF(B1452="North",77.2,
IF(B1452="South",80.2,
IF(B1452="East",88.4,
IF(B1452="West",72.8,
78.9))))</f>
        <v>88.4</v>
      </c>
    </row>
    <row r="1453" spans="1:12" x14ac:dyDescent="0.25">
      <c r="A1453" s="5">
        <v>45350</v>
      </c>
      <c r="B1453" s="1" t="s">
        <v>11</v>
      </c>
      <c r="C1453" s="1" t="s">
        <v>23</v>
      </c>
      <c r="D1453" s="1" t="s">
        <v>25</v>
      </c>
      <c r="E1453" s="10">
        <v>6</v>
      </c>
      <c r="F1453" s="10">
        <v>396</v>
      </c>
      <c r="G1453" s="1" t="s">
        <v>34</v>
      </c>
      <c r="H1453" s="10">
        <f t="shared" si="46"/>
        <v>2376</v>
      </c>
      <c r="I1453" s="7">
        <v>1742.7247555120789</v>
      </c>
      <c r="J1453" s="7">
        <f t="shared" si="47"/>
        <v>633.2752444879211</v>
      </c>
      <c r="K1453" s="1">
        <f>IF(B1453="North",28.6,
IF(B1453="South",13,
IF(B1453="East",22.6,
IF(B1453="West",19,
23.5))))</f>
        <v>19</v>
      </c>
      <c r="L1453" s="1">
        <f>IF(B1453="North",77.2,
IF(B1453="South",80.2,
IF(B1453="East",88.4,
IF(B1453="West",72.8,
78.9))))</f>
        <v>72.8</v>
      </c>
    </row>
    <row r="1454" spans="1:12" x14ac:dyDescent="0.25">
      <c r="A1454" s="5">
        <v>45656</v>
      </c>
      <c r="B1454" s="1" t="s">
        <v>12</v>
      </c>
      <c r="C1454" s="1" t="s">
        <v>24</v>
      </c>
      <c r="D1454" s="1" t="s">
        <v>28</v>
      </c>
      <c r="E1454" s="10">
        <v>16</v>
      </c>
      <c r="F1454" s="10">
        <v>1235</v>
      </c>
      <c r="G1454" s="1" t="s">
        <v>35</v>
      </c>
      <c r="H1454" s="10">
        <f t="shared" si="46"/>
        <v>19760</v>
      </c>
      <c r="I1454" s="7">
        <v>12857.839981616309</v>
      </c>
      <c r="J1454" s="7">
        <f t="shared" si="47"/>
        <v>6902.1600183836908</v>
      </c>
      <c r="K1454" s="1">
        <f>IF(B1454="North",28.6,
IF(B1454="South",13,
IF(B1454="East",22.6,
IF(B1454="West",19,
23.5))))</f>
        <v>22.6</v>
      </c>
      <c r="L1454" s="1">
        <f>IF(B1454="North",77.2,
IF(B1454="South",80.2,
IF(B1454="East",88.4,
IF(B1454="West",72.8,
78.9))))</f>
        <v>88.4</v>
      </c>
    </row>
    <row r="1455" spans="1:12" x14ac:dyDescent="0.25">
      <c r="A1455" s="5">
        <v>45317</v>
      </c>
      <c r="B1455" s="1" t="s">
        <v>10</v>
      </c>
      <c r="C1455" s="1" t="s">
        <v>20</v>
      </c>
      <c r="D1455" s="1" t="s">
        <v>26</v>
      </c>
      <c r="E1455" s="10">
        <v>6</v>
      </c>
      <c r="F1455" s="10">
        <v>1353</v>
      </c>
      <c r="G1455" s="1" t="s">
        <v>33</v>
      </c>
      <c r="H1455" s="10">
        <f t="shared" si="46"/>
        <v>8118</v>
      </c>
      <c r="I1455" s="7">
        <v>5993.5433858640145</v>
      </c>
      <c r="J1455" s="7">
        <f t="shared" si="47"/>
        <v>2124.4566141359855</v>
      </c>
      <c r="K1455" s="1">
        <f>IF(B1455="North",28.6,
IF(B1455="South",13,
IF(B1455="East",22.6,
IF(B1455="West",19,
23.5))))</f>
        <v>28.6</v>
      </c>
      <c r="L1455" s="1">
        <f>IF(B1455="North",77.2,
IF(B1455="South",80.2,
IF(B1455="East",88.4,
IF(B1455="West",72.8,
78.9))))</f>
        <v>77.2</v>
      </c>
    </row>
    <row r="1456" spans="1:12" x14ac:dyDescent="0.25">
      <c r="A1456" s="5">
        <v>45338</v>
      </c>
      <c r="B1456" s="1" t="s">
        <v>10</v>
      </c>
      <c r="C1456" s="1" t="s">
        <v>24</v>
      </c>
      <c r="D1456" s="1" t="s">
        <v>31</v>
      </c>
      <c r="E1456" s="10">
        <v>14</v>
      </c>
      <c r="F1456" s="10">
        <v>1219</v>
      </c>
      <c r="G1456" s="1" t="s">
        <v>35</v>
      </c>
      <c r="H1456" s="10">
        <f t="shared" si="46"/>
        <v>17066</v>
      </c>
      <c r="I1456" s="7">
        <v>13346.129741330849</v>
      </c>
      <c r="J1456" s="7">
        <f t="shared" si="47"/>
        <v>3719.8702586691506</v>
      </c>
      <c r="K1456" s="1">
        <f>IF(B1456="North",28.6,
IF(B1456="South",13,
IF(B1456="East",22.6,
IF(B1456="West",19,
23.5))))</f>
        <v>28.6</v>
      </c>
      <c r="L1456" s="1">
        <f>IF(B1456="North",77.2,
IF(B1456="South",80.2,
IF(B1456="East",88.4,
IF(B1456="West",72.8,
78.9))))</f>
        <v>77.2</v>
      </c>
    </row>
    <row r="1457" spans="1:12" x14ac:dyDescent="0.25">
      <c r="A1457" s="5">
        <v>45579</v>
      </c>
      <c r="B1457" s="1" t="s">
        <v>12</v>
      </c>
      <c r="C1457" s="1" t="s">
        <v>23</v>
      </c>
      <c r="D1457" s="1" t="s">
        <v>26</v>
      </c>
      <c r="E1457" s="10">
        <v>1</v>
      </c>
      <c r="F1457" s="10">
        <v>1049</v>
      </c>
      <c r="G1457" s="1" t="s">
        <v>34</v>
      </c>
      <c r="H1457" s="10">
        <f t="shared" si="46"/>
        <v>1049</v>
      </c>
      <c r="I1457" s="7">
        <v>733.55056889565788</v>
      </c>
      <c r="J1457" s="7">
        <f t="shared" si="47"/>
        <v>315.44943110434212</v>
      </c>
      <c r="K1457" s="1">
        <f>IF(B1457="North",28.6,
IF(B1457="South",13,
IF(B1457="East",22.6,
IF(B1457="West",19,
23.5))))</f>
        <v>22.6</v>
      </c>
      <c r="L1457" s="1">
        <f>IF(B1457="North",77.2,
IF(B1457="South",80.2,
IF(B1457="East",88.4,
IF(B1457="West",72.8,
78.9))))</f>
        <v>88.4</v>
      </c>
    </row>
    <row r="1458" spans="1:12" x14ac:dyDescent="0.25">
      <c r="A1458" s="5">
        <v>45557</v>
      </c>
      <c r="B1458" s="1" t="s">
        <v>10</v>
      </c>
      <c r="C1458" s="1" t="s">
        <v>17</v>
      </c>
      <c r="D1458" s="1" t="s">
        <v>25</v>
      </c>
      <c r="E1458" s="10">
        <v>9</v>
      </c>
      <c r="F1458" s="10">
        <v>779</v>
      </c>
      <c r="G1458" s="1" t="s">
        <v>33</v>
      </c>
      <c r="H1458" s="10">
        <f t="shared" si="46"/>
        <v>7011</v>
      </c>
      <c r="I1458" s="7">
        <v>5279.8252753301495</v>
      </c>
      <c r="J1458" s="7">
        <f t="shared" si="47"/>
        <v>1731.1747246698505</v>
      </c>
      <c r="K1458" s="1">
        <f>IF(B1458="North",28.6,
IF(B1458="South",13,
IF(B1458="East",22.6,
IF(B1458="West",19,
23.5))))</f>
        <v>28.6</v>
      </c>
      <c r="L1458" s="1">
        <f>IF(B1458="North",77.2,
IF(B1458="South",80.2,
IF(B1458="East",88.4,
IF(B1458="West",72.8,
78.9))))</f>
        <v>77.2</v>
      </c>
    </row>
    <row r="1459" spans="1:12" x14ac:dyDescent="0.25">
      <c r="A1459" s="5">
        <v>45307</v>
      </c>
      <c r="B1459" s="1" t="s">
        <v>11</v>
      </c>
      <c r="C1459" s="1" t="s">
        <v>18</v>
      </c>
      <c r="D1459" s="1" t="s">
        <v>28</v>
      </c>
      <c r="E1459" s="10">
        <v>13</v>
      </c>
      <c r="F1459" s="10">
        <v>477</v>
      </c>
      <c r="G1459" s="1" t="s">
        <v>34</v>
      </c>
      <c r="H1459" s="10">
        <f t="shared" si="46"/>
        <v>6201</v>
      </c>
      <c r="I1459" s="7">
        <v>3962.8373429298908</v>
      </c>
      <c r="J1459" s="7">
        <f t="shared" si="47"/>
        <v>2238.1626570701092</v>
      </c>
      <c r="K1459" s="1">
        <f>IF(B1459="North",28.6,
IF(B1459="South",13,
IF(B1459="East",22.6,
IF(B1459="West",19,
23.5))))</f>
        <v>19</v>
      </c>
      <c r="L1459" s="1">
        <f>IF(B1459="North",77.2,
IF(B1459="South",80.2,
IF(B1459="East",88.4,
IF(B1459="West",72.8,
78.9))))</f>
        <v>72.8</v>
      </c>
    </row>
    <row r="1460" spans="1:12" x14ac:dyDescent="0.25">
      <c r="A1460" s="5">
        <v>45490</v>
      </c>
      <c r="B1460" s="1" t="s">
        <v>10</v>
      </c>
      <c r="C1460" s="1" t="s">
        <v>21</v>
      </c>
      <c r="D1460" s="1" t="s">
        <v>32</v>
      </c>
      <c r="E1460" s="10">
        <v>19</v>
      </c>
      <c r="F1460" s="10">
        <v>1279</v>
      </c>
      <c r="G1460" s="1" t="s">
        <v>35</v>
      </c>
      <c r="H1460" s="10">
        <f t="shared" si="46"/>
        <v>24301</v>
      </c>
      <c r="I1460" s="7">
        <v>17877.186938328108</v>
      </c>
      <c r="J1460" s="7">
        <f t="shared" si="47"/>
        <v>6423.8130616718918</v>
      </c>
      <c r="K1460" s="1">
        <f>IF(B1460="North",28.6,
IF(B1460="South",13,
IF(B1460="East",22.6,
IF(B1460="West",19,
23.5))))</f>
        <v>28.6</v>
      </c>
      <c r="L1460" s="1">
        <f>IF(B1460="North",77.2,
IF(B1460="South",80.2,
IF(B1460="East",88.4,
IF(B1460="West",72.8,
78.9))))</f>
        <v>77.2</v>
      </c>
    </row>
    <row r="1461" spans="1:12" x14ac:dyDescent="0.25">
      <c r="A1461" s="5">
        <v>45573</v>
      </c>
      <c r="B1461" s="1" t="s">
        <v>11</v>
      </c>
      <c r="C1461" s="1" t="s">
        <v>24</v>
      </c>
      <c r="D1461" s="1" t="s">
        <v>29</v>
      </c>
      <c r="E1461" s="10">
        <v>17</v>
      </c>
      <c r="F1461" s="10">
        <v>520</v>
      </c>
      <c r="G1461" s="1" t="s">
        <v>35</v>
      </c>
      <c r="H1461" s="10">
        <f t="shared" si="46"/>
        <v>8840</v>
      </c>
      <c r="I1461" s="7">
        <v>5544.737471801177</v>
      </c>
      <c r="J1461" s="7">
        <f t="shared" si="47"/>
        <v>3295.262528198823</v>
      </c>
      <c r="K1461" s="1">
        <f>IF(B1461="North",28.6,
IF(B1461="South",13,
IF(B1461="East",22.6,
IF(B1461="West",19,
23.5))))</f>
        <v>19</v>
      </c>
      <c r="L1461" s="1">
        <f>IF(B1461="North",77.2,
IF(B1461="South",80.2,
IF(B1461="East",88.4,
IF(B1461="West",72.8,
78.9))))</f>
        <v>72.8</v>
      </c>
    </row>
    <row r="1462" spans="1:12" x14ac:dyDescent="0.25">
      <c r="A1462" s="5">
        <v>45377</v>
      </c>
      <c r="B1462" s="1" t="s">
        <v>13</v>
      </c>
      <c r="C1462" s="1" t="s">
        <v>19</v>
      </c>
      <c r="D1462" s="1" t="s">
        <v>29</v>
      </c>
      <c r="E1462" s="10">
        <v>11</v>
      </c>
      <c r="F1462" s="10">
        <v>204</v>
      </c>
      <c r="G1462" s="1" t="s">
        <v>35</v>
      </c>
      <c r="H1462" s="10">
        <f t="shared" si="46"/>
        <v>2244</v>
      </c>
      <c r="I1462" s="7">
        <v>1379.446546465661</v>
      </c>
      <c r="J1462" s="7">
        <f t="shared" si="47"/>
        <v>864.55345353433904</v>
      </c>
      <c r="K1462" s="1">
        <f>IF(B1462="North",28.6,
IF(B1462="South",13,
IF(B1462="East",22.6,
IF(B1462="West",19,
23.5))))</f>
        <v>13</v>
      </c>
      <c r="L1462" s="1">
        <f>IF(B1462="North",77.2,
IF(B1462="South",80.2,
IF(B1462="East",88.4,
IF(B1462="West",72.8,
78.9))))</f>
        <v>80.2</v>
      </c>
    </row>
    <row r="1463" spans="1:12" x14ac:dyDescent="0.25">
      <c r="A1463" s="5">
        <v>45541</v>
      </c>
      <c r="B1463" s="1" t="s">
        <v>13</v>
      </c>
      <c r="C1463" s="1" t="s">
        <v>21</v>
      </c>
      <c r="D1463" s="1" t="s">
        <v>32</v>
      </c>
      <c r="E1463" s="10">
        <v>8</v>
      </c>
      <c r="F1463" s="10">
        <v>1828</v>
      </c>
      <c r="G1463" s="1" t="s">
        <v>35</v>
      </c>
      <c r="H1463" s="10">
        <f t="shared" si="46"/>
        <v>14624</v>
      </c>
      <c r="I1463" s="7">
        <v>12535.282957717371</v>
      </c>
      <c r="J1463" s="7">
        <f t="shared" si="47"/>
        <v>2088.7170422826293</v>
      </c>
      <c r="K1463" s="1">
        <f>IF(B1463="North",28.6,
IF(B1463="South",13,
IF(B1463="East",22.6,
IF(B1463="West",19,
23.5))))</f>
        <v>13</v>
      </c>
      <c r="L1463" s="1">
        <f>IF(B1463="North",77.2,
IF(B1463="South",80.2,
IF(B1463="East",88.4,
IF(B1463="West",72.8,
78.9))))</f>
        <v>80.2</v>
      </c>
    </row>
    <row r="1464" spans="1:12" x14ac:dyDescent="0.25">
      <c r="A1464" s="5">
        <v>45561</v>
      </c>
      <c r="B1464" s="1" t="s">
        <v>13</v>
      </c>
      <c r="C1464" s="1" t="s">
        <v>22</v>
      </c>
      <c r="D1464" s="1" t="s">
        <v>32</v>
      </c>
      <c r="E1464" s="10">
        <v>5</v>
      </c>
      <c r="F1464" s="10">
        <v>429</v>
      </c>
      <c r="G1464" s="1" t="s">
        <v>35</v>
      </c>
      <c r="H1464" s="10">
        <f t="shared" si="46"/>
        <v>2145</v>
      </c>
      <c r="I1464" s="7">
        <v>1418.9699993979989</v>
      </c>
      <c r="J1464" s="7">
        <f t="shared" si="47"/>
        <v>726.03000060200111</v>
      </c>
      <c r="K1464" s="1">
        <f>IF(B1464="North",28.6,
IF(B1464="South",13,
IF(B1464="East",22.6,
IF(B1464="West",19,
23.5))))</f>
        <v>13</v>
      </c>
      <c r="L1464" s="1">
        <f>IF(B1464="North",77.2,
IF(B1464="South",80.2,
IF(B1464="East",88.4,
IF(B1464="West",72.8,
78.9))))</f>
        <v>80.2</v>
      </c>
    </row>
    <row r="1465" spans="1:12" x14ac:dyDescent="0.25">
      <c r="A1465" s="5">
        <v>45626</v>
      </c>
      <c r="B1465" s="1" t="s">
        <v>13</v>
      </c>
      <c r="C1465" s="1" t="s">
        <v>23</v>
      </c>
      <c r="D1465" s="1" t="s">
        <v>31</v>
      </c>
      <c r="E1465" s="10">
        <v>10</v>
      </c>
      <c r="F1465" s="10">
        <v>538</v>
      </c>
      <c r="G1465" s="1" t="s">
        <v>34</v>
      </c>
      <c r="H1465" s="10">
        <f t="shared" si="46"/>
        <v>5380</v>
      </c>
      <c r="I1465" s="7">
        <v>4156.3007012124835</v>
      </c>
      <c r="J1465" s="7">
        <f t="shared" si="47"/>
        <v>1223.6992987875165</v>
      </c>
      <c r="K1465" s="1">
        <f>IF(B1465="North",28.6,
IF(B1465="South",13,
IF(B1465="East",22.6,
IF(B1465="West",19,
23.5))))</f>
        <v>13</v>
      </c>
      <c r="L1465" s="1">
        <f>IF(B1465="North",77.2,
IF(B1465="South",80.2,
IF(B1465="East",88.4,
IF(B1465="West",72.8,
78.9))))</f>
        <v>80.2</v>
      </c>
    </row>
    <row r="1466" spans="1:12" x14ac:dyDescent="0.25">
      <c r="A1466" s="5">
        <v>45408</v>
      </c>
      <c r="B1466" s="1" t="s">
        <v>10</v>
      </c>
      <c r="C1466" s="1" t="s">
        <v>18</v>
      </c>
      <c r="D1466" s="1" t="s">
        <v>25</v>
      </c>
      <c r="E1466" s="10">
        <v>7</v>
      </c>
      <c r="F1466" s="10">
        <v>1255</v>
      </c>
      <c r="G1466" s="1" t="s">
        <v>34</v>
      </c>
      <c r="H1466" s="10">
        <f t="shared" si="46"/>
        <v>8785</v>
      </c>
      <c r="I1466" s="7">
        <v>5663.6440597895344</v>
      </c>
      <c r="J1466" s="7">
        <f t="shared" si="47"/>
        <v>3121.3559402104656</v>
      </c>
      <c r="K1466" s="1">
        <f>IF(B1466="North",28.6,
IF(B1466="South",13,
IF(B1466="East",22.6,
IF(B1466="West",19,
23.5))))</f>
        <v>28.6</v>
      </c>
      <c r="L1466" s="1">
        <f>IF(B1466="North",77.2,
IF(B1466="South",80.2,
IF(B1466="East",88.4,
IF(B1466="West",72.8,
78.9))))</f>
        <v>77.2</v>
      </c>
    </row>
    <row r="1467" spans="1:12" x14ac:dyDescent="0.25">
      <c r="A1467" s="5">
        <v>45298</v>
      </c>
      <c r="B1467" s="1" t="s">
        <v>12</v>
      </c>
      <c r="C1467" s="1" t="s">
        <v>24</v>
      </c>
      <c r="D1467" s="1" t="s">
        <v>30</v>
      </c>
      <c r="E1467" s="10">
        <v>10</v>
      </c>
      <c r="F1467" s="10">
        <v>1990</v>
      </c>
      <c r="G1467" s="1" t="s">
        <v>35</v>
      </c>
      <c r="H1467" s="10">
        <f t="shared" si="46"/>
        <v>19900</v>
      </c>
      <c r="I1467" s="7">
        <v>13507.289598328471</v>
      </c>
      <c r="J1467" s="7">
        <f t="shared" si="47"/>
        <v>6392.7104016715293</v>
      </c>
      <c r="K1467" s="1">
        <f>IF(B1467="North",28.6,
IF(B1467="South",13,
IF(B1467="East",22.6,
IF(B1467="West",19,
23.5))))</f>
        <v>22.6</v>
      </c>
      <c r="L1467" s="1">
        <f>IF(B1467="North",77.2,
IF(B1467="South",80.2,
IF(B1467="East",88.4,
IF(B1467="West",72.8,
78.9))))</f>
        <v>88.4</v>
      </c>
    </row>
    <row r="1468" spans="1:12" x14ac:dyDescent="0.25">
      <c r="A1468" s="5">
        <v>45428</v>
      </c>
      <c r="B1468" s="1" t="s">
        <v>10</v>
      </c>
      <c r="C1468" s="1" t="s">
        <v>21</v>
      </c>
      <c r="D1468" s="1" t="s">
        <v>26</v>
      </c>
      <c r="E1468" s="10">
        <v>4</v>
      </c>
      <c r="F1468" s="10">
        <v>481</v>
      </c>
      <c r="G1468" s="1" t="s">
        <v>35</v>
      </c>
      <c r="H1468" s="10">
        <f t="shared" si="46"/>
        <v>1924</v>
      </c>
      <c r="I1468" s="7">
        <v>1362.965113090946</v>
      </c>
      <c r="J1468" s="7">
        <f t="shared" si="47"/>
        <v>561.03488690905397</v>
      </c>
      <c r="K1468" s="1">
        <f>IF(B1468="North",28.6,
IF(B1468="South",13,
IF(B1468="East",22.6,
IF(B1468="West",19,
23.5))))</f>
        <v>28.6</v>
      </c>
      <c r="L1468" s="1">
        <f>IF(B1468="North",77.2,
IF(B1468="South",80.2,
IF(B1468="East",88.4,
IF(B1468="West",72.8,
78.9))))</f>
        <v>77.2</v>
      </c>
    </row>
    <row r="1469" spans="1:12" x14ac:dyDescent="0.25">
      <c r="A1469" s="5">
        <v>45467</v>
      </c>
      <c r="B1469" s="1" t="s">
        <v>11</v>
      </c>
      <c r="C1469" s="1" t="s">
        <v>18</v>
      </c>
      <c r="D1469" s="1" t="s">
        <v>29</v>
      </c>
      <c r="E1469" s="10">
        <v>9</v>
      </c>
      <c r="F1469" s="10">
        <v>237</v>
      </c>
      <c r="G1469" s="1" t="s">
        <v>34</v>
      </c>
      <c r="H1469" s="10">
        <f t="shared" si="46"/>
        <v>2133</v>
      </c>
      <c r="I1469" s="7">
        <v>1371.7385516234169</v>
      </c>
      <c r="J1469" s="7">
        <f t="shared" si="47"/>
        <v>761.26144837658308</v>
      </c>
      <c r="K1469" s="1">
        <f>IF(B1469="North",28.6,
IF(B1469="South",13,
IF(B1469="East",22.6,
IF(B1469="West",19,
23.5))))</f>
        <v>19</v>
      </c>
      <c r="L1469" s="1">
        <f>IF(B1469="North",77.2,
IF(B1469="South",80.2,
IF(B1469="East",88.4,
IF(B1469="West",72.8,
78.9))))</f>
        <v>72.8</v>
      </c>
    </row>
    <row r="1470" spans="1:12" x14ac:dyDescent="0.25">
      <c r="A1470" s="5">
        <v>45619</v>
      </c>
      <c r="B1470" s="1" t="s">
        <v>10</v>
      </c>
      <c r="C1470" s="1" t="s">
        <v>24</v>
      </c>
      <c r="D1470" s="1" t="s">
        <v>32</v>
      </c>
      <c r="E1470" s="10">
        <v>14</v>
      </c>
      <c r="F1470" s="10">
        <v>1042</v>
      </c>
      <c r="G1470" s="1" t="s">
        <v>35</v>
      </c>
      <c r="H1470" s="10">
        <f t="shared" si="46"/>
        <v>14588</v>
      </c>
      <c r="I1470" s="7">
        <v>8953.949396639422</v>
      </c>
      <c r="J1470" s="7">
        <f t="shared" si="47"/>
        <v>5634.050603360578</v>
      </c>
      <c r="K1470" s="1">
        <f>IF(B1470="North",28.6,
IF(B1470="South",13,
IF(B1470="East",22.6,
IF(B1470="West",19,
23.5))))</f>
        <v>28.6</v>
      </c>
      <c r="L1470" s="1">
        <f>IF(B1470="North",77.2,
IF(B1470="South",80.2,
IF(B1470="East",88.4,
IF(B1470="West",72.8,
78.9))))</f>
        <v>77.2</v>
      </c>
    </row>
    <row r="1471" spans="1:12" x14ac:dyDescent="0.25">
      <c r="A1471" s="5">
        <v>45606</v>
      </c>
      <c r="B1471" s="1" t="s">
        <v>10</v>
      </c>
      <c r="C1471" s="1" t="s">
        <v>21</v>
      </c>
      <c r="D1471" s="1" t="s">
        <v>26</v>
      </c>
      <c r="E1471" s="10">
        <v>2</v>
      </c>
      <c r="F1471" s="10">
        <v>942</v>
      </c>
      <c r="G1471" s="1" t="s">
        <v>35</v>
      </c>
      <c r="H1471" s="10">
        <f t="shared" si="46"/>
        <v>1884</v>
      </c>
      <c r="I1471" s="7">
        <v>1626.17072010058</v>
      </c>
      <c r="J1471" s="7">
        <f t="shared" si="47"/>
        <v>257.82927989942004</v>
      </c>
      <c r="K1471" s="1">
        <f>IF(B1471="North",28.6,
IF(B1471="South",13,
IF(B1471="East",22.6,
IF(B1471="West",19,
23.5))))</f>
        <v>28.6</v>
      </c>
      <c r="L1471" s="1">
        <f>IF(B1471="North",77.2,
IF(B1471="South",80.2,
IF(B1471="East",88.4,
IF(B1471="West",72.8,
78.9))))</f>
        <v>77.2</v>
      </c>
    </row>
    <row r="1472" spans="1:12" x14ac:dyDescent="0.25">
      <c r="A1472" s="5">
        <v>45506</v>
      </c>
      <c r="B1472" s="1" t="s">
        <v>11</v>
      </c>
      <c r="C1472" s="1" t="s">
        <v>19</v>
      </c>
      <c r="D1472" s="1" t="s">
        <v>29</v>
      </c>
      <c r="E1472" s="10">
        <v>9</v>
      </c>
      <c r="F1472" s="10">
        <v>369</v>
      </c>
      <c r="G1472" s="1" t="s">
        <v>35</v>
      </c>
      <c r="H1472" s="10">
        <f t="shared" si="46"/>
        <v>3321</v>
      </c>
      <c r="I1472" s="7">
        <v>2004.389054387017</v>
      </c>
      <c r="J1472" s="7">
        <f t="shared" si="47"/>
        <v>1316.610945612983</v>
      </c>
      <c r="K1472" s="1">
        <f>IF(B1472="North",28.6,
IF(B1472="South",13,
IF(B1472="East",22.6,
IF(B1472="West",19,
23.5))))</f>
        <v>19</v>
      </c>
      <c r="L1472" s="1">
        <f>IF(B1472="North",77.2,
IF(B1472="South",80.2,
IF(B1472="East",88.4,
IF(B1472="West",72.8,
78.9))))</f>
        <v>72.8</v>
      </c>
    </row>
    <row r="1473" spans="1:12" x14ac:dyDescent="0.25">
      <c r="A1473" s="5">
        <v>45373</v>
      </c>
      <c r="B1473" s="1" t="s">
        <v>13</v>
      </c>
      <c r="C1473" s="1" t="s">
        <v>22</v>
      </c>
      <c r="D1473" s="1" t="s">
        <v>32</v>
      </c>
      <c r="E1473" s="10">
        <v>1</v>
      </c>
      <c r="F1473" s="10">
        <v>1673</v>
      </c>
      <c r="G1473" s="1" t="s">
        <v>35</v>
      </c>
      <c r="H1473" s="10">
        <f t="shared" si="46"/>
        <v>1673</v>
      </c>
      <c r="I1473" s="7">
        <v>1034.57700128492</v>
      </c>
      <c r="J1473" s="7">
        <f t="shared" si="47"/>
        <v>638.42299871507998</v>
      </c>
      <c r="K1473" s="1">
        <f>IF(B1473="North",28.6,
IF(B1473="South",13,
IF(B1473="East",22.6,
IF(B1473="West",19,
23.5))))</f>
        <v>13</v>
      </c>
      <c r="L1473" s="1">
        <f>IF(B1473="North",77.2,
IF(B1473="South",80.2,
IF(B1473="East",88.4,
IF(B1473="West",72.8,
78.9))))</f>
        <v>80.2</v>
      </c>
    </row>
    <row r="1474" spans="1:12" x14ac:dyDescent="0.25">
      <c r="A1474" s="5">
        <v>45514</v>
      </c>
      <c r="B1474" s="1" t="s">
        <v>13</v>
      </c>
      <c r="C1474" s="1" t="s">
        <v>22</v>
      </c>
      <c r="D1474" s="1" t="s">
        <v>25</v>
      </c>
      <c r="E1474" s="10">
        <v>10</v>
      </c>
      <c r="F1474" s="10">
        <v>495</v>
      </c>
      <c r="G1474" s="1" t="s">
        <v>35</v>
      </c>
      <c r="H1474" s="10">
        <f t="shared" si="46"/>
        <v>4950</v>
      </c>
      <c r="I1474" s="7">
        <v>4165.532158829732</v>
      </c>
      <c r="J1474" s="7">
        <f t="shared" si="47"/>
        <v>784.467841170268</v>
      </c>
      <c r="K1474" s="1">
        <f>IF(B1474="North",28.6,
IF(B1474="South",13,
IF(B1474="East",22.6,
IF(B1474="West",19,
23.5))))</f>
        <v>13</v>
      </c>
      <c r="L1474" s="1">
        <f>IF(B1474="North",77.2,
IF(B1474="South",80.2,
IF(B1474="East",88.4,
IF(B1474="West",72.8,
78.9))))</f>
        <v>80.2</v>
      </c>
    </row>
    <row r="1475" spans="1:12" x14ac:dyDescent="0.25">
      <c r="A1475" s="5">
        <v>45394</v>
      </c>
      <c r="B1475" s="1" t="s">
        <v>13</v>
      </c>
      <c r="C1475" s="1" t="s">
        <v>17</v>
      </c>
      <c r="D1475" s="1" t="s">
        <v>29</v>
      </c>
      <c r="E1475" s="10">
        <v>10</v>
      </c>
      <c r="F1475" s="10">
        <v>1680</v>
      </c>
      <c r="G1475" s="1" t="s">
        <v>33</v>
      </c>
      <c r="H1475" s="10">
        <f t="shared" ref="H1475:H1538" si="48">E1475*F1475</f>
        <v>16800</v>
      </c>
      <c r="I1475" s="7">
        <v>11501.322017336201</v>
      </c>
      <c r="J1475" s="7">
        <f t="shared" ref="J1475:J1538" si="49">H1475-I1475</f>
        <v>5298.6779826637994</v>
      </c>
      <c r="K1475" s="1">
        <f>IF(B1475="North",28.6,
IF(B1475="South",13,
IF(B1475="East",22.6,
IF(B1475="West",19,
23.5))))</f>
        <v>13</v>
      </c>
      <c r="L1475" s="1">
        <f>IF(B1475="North",77.2,
IF(B1475="South",80.2,
IF(B1475="East",88.4,
IF(B1475="West",72.8,
78.9))))</f>
        <v>80.2</v>
      </c>
    </row>
    <row r="1476" spans="1:12" x14ac:dyDescent="0.25">
      <c r="A1476" s="5">
        <v>45564</v>
      </c>
      <c r="B1476" s="1" t="s">
        <v>12</v>
      </c>
      <c r="C1476" s="1" t="s">
        <v>21</v>
      </c>
      <c r="D1476" s="1" t="s">
        <v>31</v>
      </c>
      <c r="E1476" s="10">
        <v>3</v>
      </c>
      <c r="F1476" s="10">
        <v>1012</v>
      </c>
      <c r="G1476" s="1" t="s">
        <v>35</v>
      </c>
      <c r="H1476" s="10">
        <f t="shared" si="48"/>
        <v>3036</v>
      </c>
      <c r="I1476" s="7">
        <v>2479.9447302552671</v>
      </c>
      <c r="J1476" s="7">
        <f t="shared" si="49"/>
        <v>556.05526974473287</v>
      </c>
      <c r="K1476" s="1">
        <f>IF(B1476="North",28.6,
IF(B1476="South",13,
IF(B1476="East",22.6,
IF(B1476="West",19,
23.5))))</f>
        <v>22.6</v>
      </c>
      <c r="L1476" s="1">
        <f>IF(B1476="North",77.2,
IF(B1476="South",80.2,
IF(B1476="East",88.4,
IF(B1476="West",72.8,
78.9))))</f>
        <v>88.4</v>
      </c>
    </row>
    <row r="1477" spans="1:12" x14ac:dyDescent="0.25">
      <c r="A1477" s="5">
        <v>45305</v>
      </c>
      <c r="B1477" s="1" t="s">
        <v>11</v>
      </c>
      <c r="C1477" s="1" t="s">
        <v>24</v>
      </c>
      <c r="D1477" s="1" t="s">
        <v>30</v>
      </c>
      <c r="E1477" s="10">
        <v>6</v>
      </c>
      <c r="F1477" s="10">
        <v>563</v>
      </c>
      <c r="G1477" s="1" t="s">
        <v>35</v>
      </c>
      <c r="H1477" s="10">
        <f t="shared" si="48"/>
        <v>3378</v>
      </c>
      <c r="I1477" s="7">
        <v>2174.9851742574342</v>
      </c>
      <c r="J1477" s="7">
        <f t="shared" si="49"/>
        <v>1203.0148257425658</v>
      </c>
      <c r="K1477" s="1">
        <f>IF(B1477="North",28.6,
IF(B1477="South",13,
IF(B1477="East",22.6,
IF(B1477="West",19,
23.5))))</f>
        <v>19</v>
      </c>
      <c r="L1477" s="1">
        <f>IF(B1477="North",77.2,
IF(B1477="South",80.2,
IF(B1477="East",88.4,
IF(B1477="West",72.8,
78.9))))</f>
        <v>72.8</v>
      </c>
    </row>
    <row r="1478" spans="1:12" x14ac:dyDescent="0.25">
      <c r="A1478" s="5">
        <v>45450</v>
      </c>
      <c r="B1478" s="1" t="s">
        <v>11</v>
      </c>
      <c r="C1478" s="1" t="s">
        <v>22</v>
      </c>
      <c r="D1478" s="1" t="s">
        <v>30</v>
      </c>
      <c r="E1478" s="10">
        <v>6</v>
      </c>
      <c r="F1478" s="10">
        <v>1798</v>
      </c>
      <c r="G1478" s="1" t="s">
        <v>35</v>
      </c>
      <c r="H1478" s="10">
        <f t="shared" si="48"/>
        <v>10788</v>
      </c>
      <c r="I1478" s="7">
        <v>7240.7386511584227</v>
      </c>
      <c r="J1478" s="7">
        <f t="shared" si="49"/>
        <v>3547.2613488415773</v>
      </c>
      <c r="K1478" s="1">
        <f>IF(B1478="North",28.6,
IF(B1478="South",13,
IF(B1478="East",22.6,
IF(B1478="West",19,
23.5))))</f>
        <v>19</v>
      </c>
      <c r="L1478" s="1">
        <f>IF(B1478="North",77.2,
IF(B1478="South",80.2,
IF(B1478="East",88.4,
IF(B1478="West",72.8,
78.9))))</f>
        <v>72.8</v>
      </c>
    </row>
    <row r="1479" spans="1:12" x14ac:dyDescent="0.25">
      <c r="A1479" s="5">
        <v>45443</v>
      </c>
      <c r="B1479" s="1" t="s">
        <v>10</v>
      </c>
      <c r="C1479" s="1" t="s">
        <v>23</v>
      </c>
      <c r="D1479" s="1" t="s">
        <v>32</v>
      </c>
      <c r="E1479" s="10">
        <v>2</v>
      </c>
      <c r="F1479" s="10">
        <v>549</v>
      </c>
      <c r="G1479" s="1" t="s">
        <v>34</v>
      </c>
      <c r="H1479" s="10">
        <f t="shared" si="48"/>
        <v>1098</v>
      </c>
      <c r="I1479" s="7">
        <v>847.47258456704969</v>
      </c>
      <c r="J1479" s="7">
        <f t="shared" si="49"/>
        <v>250.52741543295031</v>
      </c>
      <c r="K1479" s="1">
        <f>IF(B1479="North",28.6,
IF(B1479="South",13,
IF(B1479="East",22.6,
IF(B1479="West",19,
23.5))))</f>
        <v>28.6</v>
      </c>
      <c r="L1479" s="1">
        <f>IF(B1479="North",77.2,
IF(B1479="South",80.2,
IF(B1479="East",88.4,
IF(B1479="West",72.8,
78.9))))</f>
        <v>77.2</v>
      </c>
    </row>
    <row r="1480" spans="1:12" x14ac:dyDescent="0.25">
      <c r="A1480" s="5">
        <v>45399</v>
      </c>
      <c r="B1480" s="1" t="s">
        <v>12</v>
      </c>
      <c r="C1480" s="1" t="s">
        <v>22</v>
      </c>
      <c r="D1480" s="1" t="s">
        <v>29</v>
      </c>
      <c r="E1480" s="10">
        <v>18</v>
      </c>
      <c r="F1480" s="10">
        <v>1454</v>
      </c>
      <c r="G1480" s="1" t="s">
        <v>35</v>
      </c>
      <c r="H1480" s="10">
        <f t="shared" si="48"/>
        <v>26172</v>
      </c>
      <c r="I1480" s="7">
        <v>23465.573149482461</v>
      </c>
      <c r="J1480" s="7">
        <f t="shared" si="49"/>
        <v>2706.4268505175387</v>
      </c>
      <c r="K1480" s="1">
        <f>IF(B1480="North",28.6,
IF(B1480="South",13,
IF(B1480="East",22.6,
IF(B1480="West",19,
23.5))))</f>
        <v>22.6</v>
      </c>
      <c r="L1480" s="1">
        <f>IF(B1480="North",77.2,
IF(B1480="South",80.2,
IF(B1480="East",88.4,
IF(B1480="West",72.8,
78.9))))</f>
        <v>88.4</v>
      </c>
    </row>
    <row r="1481" spans="1:12" x14ac:dyDescent="0.25">
      <c r="A1481" s="5">
        <v>45479</v>
      </c>
      <c r="B1481" s="1" t="s">
        <v>13</v>
      </c>
      <c r="C1481" s="1" t="s">
        <v>20</v>
      </c>
      <c r="D1481" s="1" t="s">
        <v>31</v>
      </c>
      <c r="E1481" s="10">
        <v>2</v>
      </c>
      <c r="F1481" s="10">
        <v>1376</v>
      </c>
      <c r="G1481" s="1" t="s">
        <v>33</v>
      </c>
      <c r="H1481" s="10">
        <f t="shared" si="48"/>
        <v>2752</v>
      </c>
      <c r="I1481" s="7">
        <v>1711.8357545634551</v>
      </c>
      <c r="J1481" s="7">
        <f t="shared" si="49"/>
        <v>1040.1642454365449</v>
      </c>
      <c r="K1481" s="1">
        <f>IF(B1481="North",28.6,
IF(B1481="South",13,
IF(B1481="East",22.6,
IF(B1481="West",19,
23.5))))</f>
        <v>13</v>
      </c>
      <c r="L1481" s="1">
        <f>IF(B1481="North",77.2,
IF(B1481="South",80.2,
IF(B1481="East",88.4,
IF(B1481="West",72.8,
78.9))))</f>
        <v>80.2</v>
      </c>
    </row>
    <row r="1482" spans="1:12" x14ac:dyDescent="0.25">
      <c r="A1482" s="5">
        <v>45592</v>
      </c>
      <c r="B1482" s="1" t="s">
        <v>12</v>
      </c>
      <c r="C1482" s="1" t="s">
        <v>20</v>
      </c>
      <c r="D1482" s="1" t="s">
        <v>27</v>
      </c>
      <c r="E1482" s="10">
        <v>12</v>
      </c>
      <c r="F1482" s="10">
        <v>1804</v>
      </c>
      <c r="G1482" s="1" t="s">
        <v>33</v>
      </c>
      <c r="H1482" s="10">
        <f t="shared" si="48"/>
        <v>21648</v>
      </c>
      <c r="I1482" s="7">
        <v>15590.161781133211</v>
      </c>
      <c r="J1482" s="7">
        <f t="shared" si="49"/>
        <v>6057.8382188667892</v>
      </c>
      <c r="K1482" s="1">
        <f>IF(B1482="North",28.6,
IF(B1482="South",13,
IF(B1482="East",22.6,
IF(B1482="West",19,
23.5))))</f>
        <v>22.6</v>
      </c>
      <c r="L1482" s="1">
        <f>IF(B1482="North",77.2,
IF(B1482="South",80.2,
IF(B1482="East",88.4,
IF(B1482="West",72.8,
78.9))))</f>
        <v>88.4</v>
      </c>
    </row>
    <row r="1483" spans="1:12" x14ac:dyDescent="0.25">
      <c r="A1483" s="5">
        <v>45389</v>
      </c>
      <c r="B1483" s="1" t="s">
        <v>11</v>
      </c>
      <c r="C1483" s="1" t="s">
        <v>22</v>
      </c>
      <c r="D1483" s="1" t="s">
        <v>26</v>
      </c>
      <c r="E1483" s="10">
        <v>5</v>
      </c>
      <c r="F1483" s="10">
        <v>1408</v>
      </c>
      <c r="G1483" s="1" t="s">
        <v>35</v>
      </c>
      <c r="H1483" s="10">
        <f t="shared" si="48"/>
        <v>7040</v>
      </c>
      <c r="I1483" s="7">
        <v>4314.9870086525134</v>
      </c>
      <c r="J1483" s="7">
        <f t="shared" si="49"/>
        <v>2725.0129913474866</v>
      </c>
      <c r="K1483" s="1">
        <f>IF(B1483="North",28.6,
IF(B1483="South",13,
IF(B1483="East",22.6,
IF(B1483="West",19,
23.5))))</f>
        <v>19</v>
      </c>
      <c r="L1483" s="1">
        <f>IF(B1483="North",77.2,
IF(B1483="South",80.2,
IF(B1483="East",88.4,
IF(B1483="West",72.8,
78.9))))</f>
        <v>72.8</v>
      </c>
    </row>
    <row r="1484" spans="1:12" x14ac:dyDescent="0.25">
      <c r="A1484" s="5">
        <v>45422</v>
      </c>
      <c r="B1484" s="1" t="s">
        <v>11</v>
      </c>
      <c r="C1484" s="1" t="s">
        <v>21</v>
      </c>
      <c r="D1484" s="1" t="s">
        <v>26</v>
      </c>
      <c r="E1484" s="10">
        <v>7</v>
      </c>
      <c r="F1484" s="10">
        <v>1397</v>
      </c>
      <c r="G1484" s="1" t="s">
        <v>35</v>
      </c>
      <c r="H1484" s="10">
        <f t="shared" si="48"/>
        <v>9779</v>
      </c>
      <c r="I1484" s="7">
        <v>6451.8706148198326</v>
      </c>
      <c r="J1484" s="7">
        <f t="shared" si="49"/>
        <v>3327.1293851801674</v>
      </c>
      <c r="K1484" s="1">
        <f>IF(B1484="North",28.6,
IF(B1484="South",13,
IF(B1484="East",22.6,
IF(B1484="West",19,
23.5))))</f>
        <v>19</v>
      </c>
      <c r="L1484" s="1">
        <f>IF(B1484="North",77.2,
IF(B1484="South",80.2,
IF(B1484="East",88.4,
IF(B1484="West",72.8,
78.9))))</f>
        <v>72.8</v>
      </c>
    </row>
    <row r="1485" spans="1:12" x14ac:dyDescent="0.25">
      <c r="A1485" s="5">
        <v>45584</v>
      </c>
      <c r="B1485" s="1" t="s">
        <v>10</v>
      </c>
      <c r="C1485" s="1" t="s">
        <v>40</v>
      </c>
      <c r="D1485" s="1" t="s">
        <v>28</v>
      </c>
      <c r="E1485" s="10">
        <v>16</v>
      </c>
      <c r="F1485" s="10">
        <v>119</v>
      </c>
      <c r="G1485" s="1" t="s">
        <v>33</v>
      </c>
      <c r="H1485" s="10">
        <f t="shared" si="48"/>
        <v>1904</v>
      </c>
      <c r="I1485" s="7">
        <v>1660.7474505301541</v>
      </c>
      <c r="J1485" s="7">
        <f t="shared" si="49"/>
        <v>243.25254946984592</v>
      </c>
      <c r="K1485" s="1">
        <f>IF(B1485="North",28.6,
IF(B1485="South",13,
IF(B1485="East",22.6,
IF(B1485="West",19,
23.5))))</f>
        <v>28.6</v>
      </c>
      <c r="L1485" s="1">
        <f>IF(B1485="North",77.2,
IF(B1485="South",80.2,
IF(B1485="East",88.4,
IF(B1485="West",72.8,
78.9))))</f>
        <v>77.2</v>
      </c>
    </row>
    <row r="1486" spans="1:12" x14ac:dyDescent="0.25">
      <c r="A1486" s="5">
        <v>45462</v>
      </c>
      <c r="B1486" s="1" t="s">
        <v>10</v>
      </c>
      <c r="C1486" s="1" t="s">
        <v>22</v>
      </c>
      <c r="D1486" s="1" t="s">
        <v>31</v>
      </c>
      <c r="E1486" s="10">
        <v>1</v>
      </c>
      <c r="F1486" s="10">
        <v>338</v>
      </c>
      <c r="G1486" s="1" t="s">
        <v>35</v>
      </c>
      <c r="H1486" s="10">
        <f t="shared" si="48"/>
        <v>338</v>
      </c>
      <c r="I1486" s="7">
        <v>212.58105452428259</v>
      </c>
      <c r="J1486" s="7">
        <f t="shared" si="49"/>
        <v>125.41894547571741</v>
      </c>
      <c r="K1486" s="1">
        <f>IF(B1486="North",28.6,
IF(B1486="South",13,
IF(B1486="East",22.6,
IF(B1486="West",19,
23.5))))</f>
        <v>28.6</v>
      </c>
      <c r="L1486" s="1">
        <f>IF(B1486="North",77.2,
IF(B1486="South",80.2,
IF(B1486="East",88.4,
IF(B1486="West",72.8,
78.9))))</f>
        <v>77.2</v>
      </c>
    </row>
    <row r="1487" spans="1:12" x14ac:dyDescent="0.25">
      <c r="A1487" s="5">
        <v>45474</v>
      </c>
      <c r="B1487" s="1" t="s">
        <v>11</v>
      </c>
      <c r="C1487" s="1" t="s">
        <v>19</v>
      </c>
      <c r="D1487" s="1" t="s">
        <v>29</v>
      </c>
      <c r="E1487" s="10">
        <v>1</v>
      </c>
      <c r="F1487" s="10">
        <v>1393</v>
      </c>
      <c r="G1487" s="1" t="s">
        <v>35</v>
      </c>
      <c r="H1487" s="10">
        <f t="shared" si="48"/>
        <v>1393</v>
      </c>
      <c r="I1487" s="7">
        <v>1193.8800895428769</v>
      </c>
      <c r="J1487" s="7">
        <f t="shared" si="49"/>
        <v>199.11991045712307</v>
      </c>
      <c r="K1487" s="1">
        <f>IF(B1487="North",28.6,
IF(B1487="South",13,
IF(B1487="East",22.6,
IF(B1487="West",19,
23.5))))</f>
        <v>19</v>
      </c>
      <c r="L1487" s="1">
        <f>IF(B1487="North",77.2,
IF(B1487="South",80.2,
IF(B1487="East",88.4,
IF(B1487="West",72.8,
78.9))))</f>
        <v>72.8</v>
      </c>
    </row>
    <row r="1488" spans="1:12" x14ac:dyDescent="0.25">
      <c r="A1488" s="5">
        <v>45655</v>
      </c>
      <c r="B1488" s="1" t="s">
        <v>13</v>
      </c>
      <c r="C1488" s="1" t="s">
        <v>18</v>
      </c>
      <c r="D1488" s="1" t="s">
        <v>25</v>
      </c>
      <c r="E1488" s="10">
        <v>17</v>
      </c>
      <c r="F1488" s="10">
        <v>517</v>
      </c>
      <c r="G1488" s="1" t="s">
        <v>34</v>
      </c>
      <c r="H1488" s="10">
        <f t="shared" si="48"/>
        <v>8789</v>
      </c>
      <c r="I1488" s="7">
        <v>5742.213797924851</v>
      </c>
      <c r="J1488" s="7">
        <f t="shared" si="49"/>
        <v>3046.786202075149</v>
      </c>
      <c r="K1488" s="1">
        <f>IF(B1488="North",28.6,
IF(B1488="South",13,
IF(B1488="East",22.6,
IF(B1488="West",19,
23.5))))</f>
        <v>13</v>
      </c>
      <c r="L1488" s="1">
        <f>IF(B1488="North",77.2,
IF(B1488="South",80.2,
IF(B1488="East",88.4,
IF(B1488="West",72.8,
78.9))))</f>
        <v>80.2</v>
      </c>
    </row>
    <row r="1489" spans="1:12" x14ac:dyDescent="0.25">
      <c r="A1489" s="5">
        <v>45330</v>
      </c>
      <c r="B1489" s="1" t="s">
        <v>13</v>
      </c>
      <c r="C1489" s="1" t="s">
        <v>24</v>
      </c>
      <c r="D1489" s="1" t="s">
        <v>25</v>
      </c>
      <c r="E1489" s="10">
        <v>1</v>
      </c>
      <c r="F1489" s="10">
        <v>1433</v>
      </c>
      <c r="G1489" s="1" t="s">
        <v>35</v>
      </c>
      <c r="H1489" s="10">
        <f t="shared" si="48"/>
        <v>1433</v>
      </c>
      <c r="I1489" s="7">
        <v>1230.281305526559</v>
      </c>
      <c r="J1489" s="7">
        <f t="shared" si="49"/>
        <v>202.71869447344102</v>
      </c>
      <c r="K1489" s="1">
        <f>IF(B1489="North",28.6,
IF(B1489="South",13,
IF(B1489="East",22.6,
IF(B1489="West",19,
23.5))))</f>
        <v>13</v>
      </c>
      <c r="L1489" s="1">
        <f>IF(B1489="North",77.2,
IF(B1489="South",80.2,
IF(B1489="East",88.4,
IF(B1489="West",72.8,
78.9))))</f>
        <v>80.2</v>
      </c>
    </row>
    <row r="1490" spans="1:12" x14ac:dyDescent="0.25">
      <c r="A1490" s="5">
        <v>45306</v>
      </c>
      <c r="B1490" s="1" t="s">
        <v>12</v>
      </c>
      <c r="C1490" s="1" t="s">
        <v>17</v>
      </c>
      <c r="D1490" s="1" t="s">
        <v>28</v>
      </c>
      <c r="E1490" s="10">
        <v>13</v>
      </c>
      <c r="F1490" s="10">
        <v>1154</v>
      </c>
      <c r="G1490" s="1" t="s">
        <v>33</v>
      </c>
      <c r="H1490" s="10">
        <f t="shared" si="48"/>
        <v>15002</v>
      </c>
      <c r="I1490" s="7">
        <v>11422.621647288421</v>
      </c>
      <c r="J1490" s="7">
        <f t="shared" si="49"/>
        <v>3579.3783527115793</v>
      </c>
      <c r="K1490" s="1">
        <f>IF(B1490="North",28.6,
IF(B1490="South",13,
IF(B1490="East",22.6,
IF(B1490="West",19,
23.5))))</f>
        <v>22.6</v>
      </c>
      <c r="L1490" s="1">
        <f>IF(B1490="North",77.2,
IF(B1490="South",80.2,
IF(B1490="East",88.4,
IF(B1490="West",72.8,
78.9))))</f>
        <v>88.4</v>
      </c>
    </row>
    <row r="1491" spans="1:12" x14ac:dyDescent="0.25">
      <c r="A1491" s="5">
        <v>45295</v>
      </c>
      <c r="B1491" s="1" t="s">
        <v>11</v>
      </c>
      <c r="C1491" s="1" t="s">
        <v>19</v>
      </c>
      <c r="D1491" s="1" t="s">
        <v>32</v>
      </c>
      <c r="E1491" s="10">
        <v>9</v>
      </c>
      <c r="F1491" s="10">
        <v>1949</v>
      </c>
      <c r="G1491" s="1" t="s">
        <v>35</v>
      </c>
      <c r="H1491" s="10">
        <f t="shared" si="48"/>
        <v>17541</v>
      </c>
      <c r="I1491" s="7">
        <v>15145.986981783921</v>
      </c>
      <c r="J1491" s="7">
        <f t="shared" si="49"/>
        <v>2395.0130182160792</v>
      </c>
      <c r="K1491" s="1">
        <f>IF(B1491="North",28.6,
IF(B1491="South",13,
IF(B1491="East",22.6,
IF(B1491="West",19,
23.5))))</f>
        <v>19</v>
      </c>
      <c r="L1491" s="1">
        <f>IF(B1491="North",77.2,
IF(B1491="South",80.2,
IF(B1491="East",88.4,
IF(B1491="West",72.8,
78.9))))</f>
        <v>72.8</v>
      </c>
    </row>
    <row r="1492" spans="1:12" x14ac:dyDescent="0.25">
      <c r="A1492" s="5">
        <v>45640</v>
      </c>
      <c r="B1492" s="1" t="s">
        <v>11</v>
      </c>
      <c r="C1492" s="1" t="s">
        <v>17</v>
      </c>
      <c r="D1492" s="1" t="s">
        <v>29</v>
      </c>
      <c r="E1492" s="10">
        <v>15</v>
      </c>
      <c r="F1492" s="10">
        <v>1227</v>
      </c>
      <c r="G1492" s="1" t="s">
        <v>33</v>
      </c>
      <c r="H1492" s="10">
        <f t="shared" si="48"/>
        <v>18405</v>
      </c>
      <c r="I1492" s="7">
        <v>11880.63167394337</v>
      </c>
      <c r="J1492" s="7">
        <f t="shared" si="49"/>
        <v>6524.3683260566304</v>
      </c>
      <c r="K1492" s="1">
        <f>IF(B1492="North",28.6,
IF(B1492="South",13,
IF(B1492="East",22.6,
IF(B1492="West",19,
23.5))))</f>
        <v>19</v>
      </c>
      <c r="L1492" s="1">
        <f>IF(B1492="North",77.2,
IF(B1492="South",80.2,
IF(B1492="East",88.4,
IF(B1492="West",72.8,
78.9))))</f>
        <v>72.8</v>
      </c>
    </row>
    <row r="1493" spans="1:12" x14ac:dyDescent="0.25">
      <c r="A1493" s="5">
        <v>45501</v>
      </c>
      <c r="B1493" s="1" t="s">
        <v>13</v>
      </c>
      <c r="C1493" s="1" t="s">
        <v>19</v>
      </c>
      <c r="D1493" s="1" t="s">
        <v>28</v>
      </c>
      <c r="E1493" s="10">
        <v>10</v>
      </c>
      <c r="F1493" s="10">
        <v>1805</v>
      </c>
      <c r="G1493" s="1" t="s">
        <v>35</v>
      </c>
      <c r="H1493" s="10">
        <f t="shared" si="48"/>
        <v>18050</v>
      </c>
      <c r="I1493" s="7">
        <f>H1493*0.7</f>
        <v>12635</v>
      </c>
      <c r="J1493" s="7">
        <f t="shared" si="49"/>
        <v>5415</v>
      </c>
      <c r="K1493" s="1">
        <f>IF(B1493="North",28.6,
IF(B1493="South",13,
IF(B1493="East",22.6,
IF(B1493="West",19,
23.5))))</f>
        <v>13</v>
      </c>
      <c r="L1493" s="1">
        <f>IF(B1493="North",77.2,
IF(B1493="South",80.2,
IF(B1493="East",88.4,
IF(B1493="West",72.8,
78.9))))</f>
        <v>80.2</v>
      </c>
    </row>
    <row r="1494" spans="1:12" x14ac:dyDescent="0.25">
      <c r="A1494" s="5">
        <v>45452</v>
      </c>
      <c r="B1494" s="1" t="s">
        <v>13</v>
      </c>
      <c r="C1494" s="1" t="s">
        <v>24</v>
      </c>
      <c r="D1494" s="1" t="s">
        <v>30</v>
      </c>
      <c r="E1494" s="10">
        <v>14</v>
      </c>
      <c r="F1494" s="10">
        <v>285</v>
      </c>
      <c r="G1494" s="1" t="s">
        <v>35</v>
      </c>
      <c r="H1494" s="10">
        <f t="shared" si="48"/>
        <v>3990</v>
      </c>
      <c r="I1494" s="7">
        <v>3208.7962195084501</v>
      </c>
      <c r="J1494" s="7">
        <f t="shared" si="49"/>
        <v>781.20378049154988</v>
      </c>
      <c r="K1494" s="1">
        <f>IF(B1494="North",28.6,
IF(B1494="South",13,
IF(B1494="East",22.6,
IF(B1494="West",19,
23.5))))</f>
        <v>13</v>
      </c>
      <c r="L1494" s="1">
        <f>IF(B1494="North",77.2,
IF(B1494="South",80.2,
IF(B1494="East",88.4,
IF(B1494="West",72.8,
78.9))))</f>
        <v>80.2</v>
      </c>
    </row>
    <row r="1495" spans="1:12" x14ac:dyDescent="0.25">
      <c r="A1495" s="5">
        <v>45307</v>
      </c>
      <c r="B1495" s="1" t="s">
        <v>11</v>
      </c>
      <c r="C1495" s="1" t="s">
        <v>24</v>
      </c>
      <c r="D1495" s="1" t="s">
        <v>26</v>
      </c>
      <c r="E1495" s="10">
        <v>11</v>
      </c>
      <c r="F1495" s="10">
        <v>1251</v>
      </c>
      <c r="G1495" s="1" t="s">
        <v>35</v>
      </c>
      <c r="H1495" s="10">
        <f t="shared" si="48"/>
        <v>13761</v>
      </c>
      <c r="I1495" s="7">
        <v>10497.99190317437</v>
      </c>
      <c r="J1495" s="7">
        <f t="shared" si="49"/>
        <v>3263.0080968256298</v>
      </c>
      <c r="K1495" s="1">
        <f>IF(B1495="North",28.6,
IF(B1495="South",13,
IF(B1495="East",22.6,
IF(B1495="West",19,
23.5))))</f>
        <v>19</v>
      </c>
      <c r="L1495" s="1">
        <f>IF(B1495="North",77.2,
IF(B1495="South",80.2,
IF(B1495="East",88.4,
IF(B1495="West",72.8,
78.9))))</f>
        <v>72.8</v>
      </c>
    </row>
    <row r="1496" spans="1:12" x14ac:dyDescent="0.25">
      <c r="A1496" s="5">
        <v>45399</v>
      </c>
      <c r="B1496" s="1" t="s">
        <v>10</v>
      </c>
      <c r="C1496" s="1" t="s">
        <v>20</v>
      </c>
      <c r="D1496" s="1" t="s">
        <v>29</v>
      </c>
      <c r="E1496" s="10">
        <v>12</v>
      </c>
      <c r="F1496" s="10">
        <v>1333</v>
      </c>
      <c r="G1496" s="1" t="s">
        <v>33</v>
      </c>
      <c r="H1496" s="10">
        <f t="shared" si="48"/>
        <v>15996</v>
      </c>
      <c r="I1496" s="7">
        <v>13487.446548359379</v>
      </c>
      <c r="J1496" s="7">
        <f t="shared" si="49"/>
        <v>2508.5534516406206</v>
      </c>
      <c r="K1496" s="1">
        <f>IF(B1496="North",28.6,
IF(B1496="South",13,
IF(B1496="East",22.6,
IF(B1496="West",19,
23.5))))</f>
        <v>28.6</v>
      </c>
      <c r="L1496" s="1">
        <f>IF(B1496="North",77.2,
IF(B1496="South",80.2,
IF(B1496="East",88.4,
IF(B1496="West",72.8,
78.9))))</f>
        <v>77.2</v>
      </c>
    </row>
    <row r="1497" spans="1:12" x14ac:dyDescent="0.25">
      <c r="A1497" s="5">
        <v>45602</v>
      </c>
      <c r="B1497" s="1" t="s">
        <v>11</v>
      </c>
      <c r="C1497" s="1" t="s">
        <v>21</v>
      </c>
      <c r="D1497" s="1" t="s">
        <v>28</v>
      </c>
      <c r="E1497" s="10">
        <v>13</v>
      </c>
      <c r="F1497" s="10">
        <v>1537</v>
      </c>
      <c r="G1497" s="1" t="s">
        <v>35</v>
      </c>
      <c r="H1497" s="10">
        <f t="shared" si="48"/>
        <v>19981</v>
      </c>
      <c r="I1497" s="7">
        <v>15874.560973223</v>
      </c>
      <c r="J1497" s="7">
        <f t="shared" si="49"/>
        <v>4106.4390267769995</v>
      </c>
      <c r="K1497" s="1">
        <f>IF(B1497="North",28.6,
IF(B1497="South",13,
IF(B1497="East",22.6,
IF(B1497="West",19,
23.5))))</f>
        <v>19</v>
      </c>
      <c r="L1497" s="1">
        <f>IF(B1497="North",77.2,
IF(B1497="South",80.2,
IF(B1497="East",88.4,
IF(B1497="West",72.8,
78.9))))</f>
        <v>72.8</v>
      </c>
    </row>
    <row r="1498" spans="1:12" x14ac:dyDescent="0.25">
      <c r="A1498" s="5">
        <v>45518</v>
      </c>
      <c r="B1498" s="1" t="s">
        <v>11</v>
      </c>
      <c r="C1498" s="1" t="s">
        <v>19</v>
      </c>
      <c r="D1498" s="1" t="s">
        <v>30</v>
      </c>
      <c r="E1498" s="10">
        <v>13</v>
      </c>
      <c r="F1498" s="10">
        <v>1404</v>
      </c>
      <c r="G1498" s="1" t="s">
        <v>35</v>
      </c>
      <c r="H1498" s="10">
        <f t="shared" si="48"/>
        <v>18252</v>
      </c>
      <c r="I1498" s="7">
        <v>15753.558140382191</v>
      </c>
      <c r="J1498" s="7">
        <f t="shared" si="49"/>
        <v>2498.4418596178093</v>
      </c>
      <c r="K1498" s="1">
        <f>IF(B1498="North",28.6,
IF(B1498="South",13,
IF(B1498="East",22.6,
IF(B1498="West",19,
23.5))))</f>
        <v>19</v>
      </c>
      <c r="L1498" s="1">
        <f>IF(B1498="North",77.2,
IF(B1498="South",80.2,
IF(B1498="East",88.4,
IF(B1498="West",72.8,
78.9))))</f>
        <v>72.8</v>
      </c>
    </row>
    <row r="1499" spans="1:12" x14ac:dyDescent="0.25">
      <c r="A1499" s="5">
        <v>45461</v>
      </c>
      <c r="B1499" s="1" t="s">
        <v>36</v>
      </c>
      <c r="C1499" s="1" t="s">
        <v>18</v>
      </c>
      <c r="D1499" s="1" t="s">
        <v>31</v>
      </c>
      <c r="E1499" s="10">
        <v>1</v>
      </c>
      <c r="F1499" s="10">
        <v>352</v>
      </c>
      <c r="G1499" s="1" t="s">
        <v>34</v>
      </c>
      <c r="H1499" s="10">
        <f t="shared" si="48"/>
        <v>352</v>
      </c>
      <c r="I1499" s="7">
        <v>251.44016270055579</v>
      </c>
      <c r="J1499" s="7">
        <f t="shared" si="49"/>
        <v>100.55983729944421</v>
      </c>
      <c r="K1499" s="1">
        <f>IF(B1499="North",28.6,
IF(B1499="South",13,
IF(B1499="East",22.6,
IF(B1499="West",19,
23.5))))</f>
        <v>23.5</v>
      </c>
      <c r="L1499" s="1">
        <f>IF(B1499="North",77.2,
IF(B1499="South",80.2,
IF(B1499="East",88.4,
IF(B1499="West",72.8,
78.9))))</f>
        <v>78.900000000000006</v>
      </c>
    </row>
    <row r="1500" spans="1:12" x14ac:dyDescent="0.25">
      <c r="A1500" s="5">
        <v>45325</v>
      </c>
      <c r="B1500" s="1" t="s">
        <v>13</v>
      </c>
      <c r="C1500" s="1" t="s">
        <v>20</v>
      </c>
      <c r="D1500" s="1" t="s">
        <v>28</v>
      </c>
      <c r="E1500" s="10">
        <v>10</v>
      </c>
      <c r="F1500" s="10">
        <v>118</v>
      </c>
      <c r="G1500" s="1" t="s">
        <v>33</v>
      </c>
      <c r="H1500" s="10">
        <f t="shared" si="48"/>
        <v>1180</v>
      </c>
      <c r="I1500" s="7">
        <v>916.83280510893042</v>
      </c>
      <c r="J1500" s="7">
        <f t="shared" si="49"/>
        <v>263.16719489106958</v>
      </c>
      <c r="K1500" s="1">
        <f>IF(B1500="North",28.6,
IF(B1500="South",13,
IF(B1500="East",22.6,
IF(B1500="West",19,
23.5))))</f>
        <v>13</v>
      </c>
      <c r="L1500" s="1">
        <f>IF(B1500="North",77.2,
IF(B1500="South",80.2,
IF(B1500="East",88.4,
IF(B1500="West",72.8,
78.9))))</f>
        <v>80.2</v>
      </c>
    </row>
    <row r="1501" spans="1:12" x14ac:dyDescent="0.25">
      <c r="A1501" s="5">
        <v>45542</v>
      </c>
      <c r="B1501" s="1" t="s">
        <v>10</v>
      </c>
      <c r="C1501" s="1" t="s">
        <v>19</v>
      </c>
      <c r="D1501" s="1" t="s">
        <v>32</v>
      </c>
      <c r="E1501" s="10">
        <v>3</v>
      </c>
      <c r="F1501" s="10">
        <v>811</v>
      </c>
      <c r="G1501" s="1" t="s">
        <v>35</v>
      </c>
      <c r="H1501" s="10">
        <f t="shared" si="48"/>
        <v>2433</v>
      </c>
      <c r="I1501" s="7">
        <v>2095.2515549960121</v>
      </c>
      <c r="J1501" s="7">
        <f t="shared" si="49"/>
        <v>337.74844500398785</v>
      </c>
      <c r="K1501" s="1">
        <f>IF(B1501="North",28.6,
IF(B1501="South",13,
IF(B1501="East",22.6,
IF(B1501="West",19,
23.5))))</f>
        <v>28.6</v>
      </c>
      <c r="L1501" s="1">
        <f>IF(B1501="North",77.2,
IF(B1501="South",80.2,
IF(B1501="East",88.4,
IF(B1501="West",72.8,
78.9))))</f>
        <v>77.2</v>
      </c>
    </row>
    <row r="1502" spans="1:12" x14ac:dyDescent="0.25">
      <c r="A1502" s="5">
        <v>45538</v>
      </c>
      <c r="B1502" s="1" t="s">
        <v>10</v>
      </c>
      <c r="C1502" s="1" t="s">
        <v>20</v>
      </c>
      <c r="D1502" s="1" t="s">
        <v>32</v>
      </c>
      <c r="E1502" s="10">
        <v>4</v>
      </c>
      <c r="F1502" s="10">
        <v>1855</v>
      </c>
      <c r="G1502" s="1" t="s">
        <v>33</v>
      </c>
      <c r="H1502" s="10">
        <f t="shared" si="48"/>
        <v>7420</v>
      </c>
      <c r="I1502" s="7">
        <v>4930.1761066958043</v>
      </c>
      <c r="J1502" s="7">
        <f t="shared" si="49"/>
        <v>2489.8238933041957</v>
      </c>
      <c r="K1502" s="1">
        <f>IF(B1502="North",28.6,
IF(B1502="South",13,
IF(B1502="East",22.6,
IF(B1502="West",19,
23.5))))</f>
        <v>28.6</v>
      </c>
      <c r="L1502" s="1">
        <f>IF(B1502="North",77.2,
IF(B1502="South",80.2,
IF(B1502="East",88.4,
IF(B1502="West",72.8,
78.9))))</f>
        <v>77.2</v>
      </c>
    </row>
    <row r="1503" spans="1:12" x14ac:dyDescent="0.25">
      <c r="A1503" s="5">
        <v>45560</v>
      </c>
      <c r="B1503" s="1" t="s">
        <v>12</v>
      </c>
      <c r="C1503" s="1" t="s">
        <v>24</v>
      </c>
      <c r="D1503" s="1" t="s">
        <v>32</v>
      </c>
      <c r="E1503" s="10">
        <v>16</v>
      </c>
      <c r="F1503" s="10">
        <v>1259</v>
      </c>
      <c r="G1503" s="1" t="s">
        <v>35</v>
      </c>
      <c r="H1503" s="10">
        <f t="shared" si="48"/>
        <v>20144</v>
      </c>
      <c r="I1503" s="7">
        <v>15021.832166306969</v>
      </c>
      <c r="J1503" s="7">
        <f t="shared" si="49"/>
        <v>5122.1678336930308</v>
      </c>
      <c r="K1503" s="1">
        <f>IF(B1503="North",28.6,
IF(B1503="South",13,
IF(B1503="East",22.6,
IF(B1503="West",19,
23.5))))</f>
        <v>22.6</v>
      </c>
      <c r="L1503" s="1">
        <f>IF(B1503="North",77.2,
IF(B1503="South",80.2,
IF(B1503="East",88.4,
IF(B1503="West",72.8,
78.9))))</f>
        <v>88.4</v>
      </c>
    </row>
    <row r="1504" spans="1:12" x14ac:dyDescent="0.25">
      <c r="A1504" s="5">
        <v>45432</v>
      </c>
      <c r="B1504" s="1" t="s">
        <v>11</v>
      </c>
      <c r="C1504" s="1" t="s">
        <v>17</v>
      </c>
      <c r="D1504" s="1" t="s">
        <v>29</v>
      </c>
      <c r="E1504" s="10">
        <v>8</v>
      </c>
      <c r="F1504" s="10">
        <v>322</v>
      </c>
      <c r="G1504" s="1" t="s">
        <v>33</v>
      </c>
      <c r="H1504" s="10">
        <f t="shared" si="48"/>
        <v>2576</v>
      </c>
      <c r="I1504" s="7">
        <v>2288.0612798319148</v>
      </c>
      <c r="J1504" s="7">
        <f t="shared" si="49"/>
        <v>287.93872016808518</v>
      </c>
      <c r="K1504" s="1">
        <f>IF(B1504="North",28.6,
IF(B1504="South",13,
IF(B1504="East",22.6,
IF(B1504="West",19,
23.5))))</f>
        <v>19</v>
      </c>
      <c r="L1504" s="1">
        <f>IF(B1504="North",77.2,
IF(B1504="South",80.2,
IF(B1504="East",88.4,
IF(B1504="West",72.8,
78.9))))</f>
        <v>72.8</v>
      </c>
    </row>
    <row r="1505" spans="1:12" x14ac:dyDescent="0.25">
      <c r="A1505" s="5">
        <v>45565</v>
      </c>
      <c r="B1505" s="1" t="s">
        <v>13</v>
      </c>
      <c r="C1505" s="1" t="s">
        <v>23</v>
      </c>
      <c r="D1505" s="1" t="s">
        <v>25</v>
      </c>
      <c r="E1505" s="10">
        <v>16</v>
      </c>
      <c r="F1505" s="10">
        <v>102</v>
      </c>
      <c r="G1505" s="1" t="s">
        <v>34</v>
      </c>
      <c r="H1505" s="10">
        <f t="shared" si="48"/>
        <v>1632</v>
      </c>
      <c r="I1505" s="7">
        <v>1211.075442011798</v>
      </c>
      <c r="J1505" s="7">
        <f t="shared" si="49"/>
        <v>420.92455798820197</v>
      </c>
      <c r="K1505" s="1">
        <f>IF(B1505="North",28.6,
IF(B1505="South",13,
IF(B1505="East",22.6,
IF(B1505="West",19,
23.5))))</f>
        <v>13</v>
      </c>
      <c r="L1505" s="1">
        <f>IF(B1505="North",77.2,
IF(B1505="South",80.2,
IF(B1505="East",88.4,
IF(B1505="West",72.8,
78.9))))</f>
        <v>80.2</v>
      </c>
    </row>
    <row r="1506" spans="1:12" x14ac:dyDescent="0.25">
      <c r="A1506" s="5">
        <v>45387</v>
      </c>
      <c r="B1506" s="1" t="s">
        <v>10</v>
      </c>
      <c r="C1506" s="1" t="s">
        <v>20</v>
      </c>
      <c r="D1506" s="1" t="s">
        <v>25</v>
      </c>
      <c r="E1506" s="10">
        <v>17</v>
      </c>
      <c r="F1506" s="10">
        <v>1359</v>
      </c>
      <c r="G1506" s="1" t="s">
        <v>33</v>
      </c>
      <c r="H1506" s="10">
        <f t="shared" si="48"/>
        <v>23103</v>
      </c>
      <c r="I1506" s="7">
        <v>15614.13560170577</v>
      </c>
      <c r="J1506" s="7">
        <f t="shared" si="49"/>
        <v>7488.8643982942303</v>
      </c>
      <c r="K1506" s="1">
        <f>IF(B1506="North",28.6,
IF(B1506="South",13,
IF(B1506="East",22.6,
IF(B1506="West",19,
23.5))))</f>
        <v>28.6</v>
      </c>
      <c r="L1506" s="1">
        <f>IF(B1506="North",77.2,
IF(B1506="South",80.2,
IF(B1506="East",88.4,
IF(B1506="West",72.8,
78.9))))</f>
        <v>77.2</v>
      </c>
    </row>
    <row r="1507" spans="1:12" x14ac:dyDescent="0.25">
      <c r="A1507" s="5">
        <v>45518</v>
      </c>
      <c r="B1507" s="1" t="s">
        <v>12</v>
      </c>
      <c r="C1507" s="1" t="s">
        <v>19</v>
      </c>
      <c r="D1507" s="1" t="s">
        <v>26</v>
      </c>
      <c r="E1507" s="10">
        <v>19</v>
      </c>
      <c r="F1507" s="10">
        <v>953</v>
      </c>
      <c r="G1507" s="1" t="s">
        <v>35</v>
      </c>
      <c r="H1507" s="10">
        <f t="shared" si="48"/>
        <v>18107</v>
      </c>
      <c r="I1507" s="7">
        <v>12771.281236477151</v>
      </c>
      <c r="J1507" s="7">
        <f t="shared" si="49"/>
        <v>5335.7187635228493</v>
      </c>
      <c r="K1507" s="1">
        <f>IF(B1507="North",28.6,
IF(B1507="South",13,
IF(B1507="East",22.6,
IF(B1507="West",19,
23.5))))</f>
        <v>22.6</v>
      </c>
      <c r="L1507" s="1">
        <f>IF(B1507="North",77.2,
IF(B1507="South",80.2,
IF(B1507="East",88.4,
IF(B1507="West",72.8,
78.9))))</f>
        <v>88.4</v>
      </c>
    </row>
    <row r="1508" spans="1:12" x14ac:dyDescent="0.25">
      <c r="A1508" s="5">
        <v>45330</v>
      </c>
      <c r="B1508" s="1" t="s">
        <v>12</v>
      </c>
      <c r="C1508" s="1" t="s">
        <v>19</v>
      </c>
      <c r="D1508" s="1" t="s">
        <v>28</v>
      </c>
      <c r="E1508" s="10">
        <v>15</v>
      </c>
      <c r="F1508" s="10">
        <v>1588</v>
      </c>
      <c r="G1508" s="1" t="s">
        <v>35</v>
      </c>
      <c r="H1508" s="10">
        <f t="shared" si="48"/>
        <v>23820</v>
      </c>
      <c r="I1508" s="7">
        <v>20616.811117042649</v>
      </c>
      <c r="J1508" s="7">
        <f t="shared" si="49"/>
        <v>3203.1888829573509</v>
      </c>
      <c r="K1508" s="1">
        <f>IF(B1508="North",28.6,
IF(B1508="South",13,
IF(B1508="East",22.6,
IF(B1508="West",19,
23.5))))</f>
        <v>22.6</v>
      </c>
      <c r="L1508" s="1">
        <f>IF(B1508="North",77.2,
IF(B1508="South",80.2,
IF(B1508="East",88.4,
IF(B1508="West",72.8,
78.9))))</f>
        <v>88.4</v>
      </c>
    </row>
    <row r="1509" spans="1:12" x14ac:dyDescent="0.25">
      <c r="A1509" s="5">
        <v>45593</v>
      </c>
      <c r="B1509" s="1" t="s">
        <v>13</v>
      </c>
      <c r="C1509" s="1" t="s">
        <v>23</v>
      </c>
      <c r="D1509" s="1" t="s">
        <v>31</v>
      </c>
      <c r="E1509" s="10">
        <v>16</v>
      </c>
      <c r="F1509" s="10">
        <v>1073.5</v>
      </c>
      <c r="G1509" s="1" t="s">
        <v>34</v>
      </c>
      <c r="H1509" s="10">
        <f t="shared" si="48"/>
        <v>17176</v>
      </c>
      <c r="I1509" s="7">
        <f>H1509*0.7</f>
        <v>12023.199999999999</v>
      </c>
      <c r="J1509" s="7">
        <f t="shared" si="49"/>
        <v>5152.8000000000011</v>
      </c>
      <c r="K1509" s="1">
        <f>IF(B1509="North",28.6,
IF(B1509="South",13,
IF(B1509="East",22.6,
IF(B1509="West",19,
23.5))))</f>
        <v>13</v>
      </c>
      <c r="L1509" s="1">
        <f>IF(B1509="North",77.2,
IF(B1509="South",80.2,
IF(B1509="East",88.4,
IF(B1509="West",72.8,
78.9))))</f>
        <v>80.2</v>
      </c>
    </row>
    <row r="1510" spans="1:12" x14ac:dyDescent="0.25">
      <c r="A1510" s="5">
        <v>45320</v>
      </c>
      <c r="B1510" s="1" t="s">
        <v>13</v>
      </c>
      <c r="C1510" s="1" t="s">
        <v>21</v>
      </c>
      <c r="D1510" s="1" t="s">
        <v>28</v>
      </c>
      <c r="E1510" s="10">
        <v>15</v>
      </c>
      <c r="F1510" s="10">
        <v>1012</v>
      </c>
      <c r="G1510" s="1" t="s">
        <v>35</v>
      </c>
      <c r="H1510" s="10">
        <f t="shared" si="48"/>
        <v>15180</v>
      </c>
      <c r="I1510" s="7">
        <v>13434.79020479268</v>
      </c>
      <c r="J1510" s="7">
        <f t="shared" si="49"/>
        <v>1745.20979520732</v>
      </c>
      <c r="K1510" s="1">
        <f>IF(B1510="North",28.6,
IF(B1510="South",13,
IF(B1510="East",22.6,
IF(B1510="West",19,
23.5))))</f>
        <v>13</v>
      </c>
      <c r="L1510" s="1">
        <f>IF(B1510="North",77.2,
IF(B1510="South",80.2,
IF(B1510="East",88.4,
IF(B1510="West",72.8,
78.9))))</f>
        <v>80.2</v>
      </c>
    </row>
    <row r="1511" spans="1:12" x14ac:dyDescent="0.25">
      <c r="A1511" s="5">
        <v>45609</v>
      </c>
      <c r="B1511" s="1" t="s">
        <v>12</v>
      </c>
      <c r="C1511" s="1" t="s">
        <v>18</v>
      </c>
      <c r="D1511" s="1" t="s">
        <v>26</v>
      </c>
      <c r="E1511" s="10">
        <v>2</v>
      </c>
      <c r="F1511" s="10">
        <v>1777</v>
      </c>
      <c r="G1511" s="1" t="s">
        <v>34</v>
      </c>
      <c r="H1511" s="10">
        <f t="shared" si="48"/>
        <v>3554</v>
      </c>
      <c r="I1511" s="7">
        <v>2877.612378316891</v>
      </c>
      <c r="J1511" s="7">
        <f t="shared" si="49"/>
        <v>676.38762168310905</v>
      </c>
      <c r="K1511" s="1">
        <f>IF(B1511="North",28.6,
IF(B1511="South",13,
IF(B1511="East",22.6,
IF(B1511="West",19,
23.5))))</f>
        <v>22.6</v>
      </c>
      <c r="L1511" s="1">
        <f>IF(B1511="North",77.2,
IF(B1511="South",80.2,
IF(B1511="East",88.4,
IF(B1511="West",72.8,
78.9))))</f>
        <v>88.4</v>
      </c>
    </row>
    <row r="1512" spans="1:12" x14ac:dyDescent="0.25">
      <c r="A1512" s="5">
        <v>45536</v>
      </c>
      <c r="B1512" s="1" t="s">
        <v>10</v>
      </c>
      <c r="C1512" s="1" t="s">
        <v>24</v>
      </c>
      <c r="D1512" s="1" t="s">
        <v>30</v>
      </c>
      <c r="E1512" s="10">
        <v>11</v>
      </c>
      <c r="F1512" s="10">
        <v>598</v>
      </c>
      <c r="G1512" s="1" t="s">
        <v>35</v>
      </c>
      <c r="H1512" s="10">
        <f t="shared" si="48"/>
        <v>6578</v>
      </c>
      <c r="I1512" s="7">
        <v>4952.4483674064904</v>
      </c>
      <c r="J1512" s="7">
        <f t="shared" si="49"/>
        <v>1625.5516325935096</v>
      </c>
      <c r="K1512" s="1">
        <f>IF(B1512="North",28.6,
IF(B1512="South",13,
IF(B1512="East",22.6,
IF(B1512="West",19,
23.5))))</f>
        <v>28.6</v>
      </c>
      <c r="L1512" s="1">
        <f>IF(B1512="North",77.2,
IF(B1512="South",80.2,
IF(B1512="East",88.4,
IF(B1512="West",72.8,
78.9))))</f>
        <v>77.2</v>
      </c>
    </row>
    <row r="1513" spans="1:12" x14ac:dyDescent="0.25">
      <c r="A1513" s="5">
        <v>45527</v>
      </c>
      <c r="B1513" s="1" t="s">
        <v>12</v>
      </c>
      <c r="C1513" s="1" t="s">
        <v>19</v>
      </c>
      <c r="D1513" s="1" t="s">
        <v>26</v>
      </c>
      <c r="E1513" s="10">
        <v>1</v>
      </c>
      <c r="F1513" s="10">
        <v>620</v>
      </c>
      <c r="G1513" s="1" t="s">
        <v>35</v>
      </c>
      <c r="H1513" s="10">
        <f t="shared" si="48"/>
        <v>620</v>
      </c>
      <c r="I1513" s="7">
        <v>405.98014189276557</v>
      </c>
      <c r="J1513" s="7">
        <f t="shared" si="49"/>
        <v>214.01985810723443</v>
      </c>
      <c r="K1513" s="1">
        <f>IF(B1513="North",28.6,
IF(B1513="South",13,
IF(B1513="East",22.6,
IF(B1513="West",19,
23.5))))</f>
        <v>22.6</v>
      </c>
      <c r="L1513" s="1">
        <f>IF(B1513="North",77.2,
IF(B1513="South",80.2,
IF(B1513="East",88.4,
IF(B1513="West",72.8,
78.9))))</f>
        <v>88.4</v>
      </c>
    </row>
    <row r="1514" spans="1:12" x14ac:dyDescent="0.25">
      <c r="A1514" s="5">
        <v>45476</v>
      </c>
      <c r="B1514" s="1" t="s">
        <v>11</v>
      </c>
      <c r="C1514" s="1" t="s">
        <v>22</v>
      </c>
      <c r="D1514" s="1" t="s">
        <v>32</v>
      </c>
      <c r="E1514" s="10">
        <v>15</v>
      </c>
      <c r="F1514" s="10">
        <v>801</v>
      </c>
      <c r="G1514" s="1" t="s">
        <v>35</v>
      </c>
      <c r="H1514" s="10">
        <f t="shared" si="48"/>
        <v>12015</v>
      </c>
      <c r="I1514" s="7">
        <v>7653.1501380079899</v>
      </c>
      <c r="J1514" s="7">
        <f t="shared" si="49"/>
        <v>4361.8498619920101</v>
      </c>
      <c r="K1514" s="1">
        <f>IF(B1514="North",28.6,
IF(B1514="South",13,
IF(B1514="East",22.6,
IF(B1514="West",19,
23.5))))</f>
        <v>19</v>
      </c>
      <c r="L1514" s="1">
        <f>IF(B1514="North",77.2,
IF(B1514="South",80.2,
IF(B1514="East",88.4,
IF(B1514="West",72.8,
78.9))))</f>
        <v>72.8</v>
      </c>
    </row>
    <row r="1515" spans="1:12" x14ac:dyDescent="0.25">
      <c r="A1515" s="5">
        <v>45563</v>
      </c>
      <c r="B1515" s="1" t="s">
        <v>11</v>
      </c>
      <c r="C1515" s="1" t="s">
        <v>17</v>
      </c>
      <c r="D1515" s="1" t="s">
        <v>29</v>
      </c>
      <c r="E1515" s="10">
        <v>19</v>
      </c>
      <c r="F1515" s="10">
        <v>1985</v>
      </c>
      <c r="G1515" s="1" t="s">
        <v>33</v>
      </c>
      <c r="H1515" s="10">
        <f t="shared" si="48"/>
        <v>37715</v>
      </c>
      <c r="I1515" s="7">
        <v>23305.229282158009</v>
      </c>
      <c r="J1515" s="7">
        <f t="shared" si="49"/>
        <v>14409.770717841991</v>
      </c>
      <c r="K1515" s="1">
        <f>IF(B1515="North",28.6,
IF(B1515="South",13,
IF(B1515="East",22.6,
IF(B1515="West",19,
23.5))))</f>
        <v>19</v>
      </c>
      <c r="L1515" s="1">
        <f>IF(B1515="North",77.2,
IF(B1515="South",80.2,
IF(B1515="East",88.4,
IF(B1515="West",72.8,
78.9))))</f>
        <v>72.8</v>
      </c>
    </row>
    <row r="1516" spans="1:12" x14ac:dyDescent="0.25">
      <c r="A1516" s="5">
        <v>45527</v>
      </c>
      <c r="B1516" s="1" t="s">
        <v>13</v>
      </c>
      <c r="C1516" s="1" t="s">
        <v>20</v>
      </c>
      <c r="D1516" s="1" t="s">
        <v>30</v>
      </c>
      <c r="E1516" s="10">
        <v>4</v>
      </c>
      <c r="F1516" s="10">
        <v>1016</v>
      </c>
      <c r="G1516" s="1" t="s">
        <v>33</v>
      </c>
      <c r="H1516" s="10">
        <f t="shared" si="48"/>
        <v>4064</v>
      </c>
      <c r="I1516" s="7">
        <v>2459.9980176733352</v>
      </c>
      <c r="J1516" s="7">
        <f t="shared" si="49"/>
        <v>1604.0019823266648</v>
      </c>
      <c r="K1516" s="1">
        <f>IF(B1516="North",28.6,
IF(B1516="South",13,
IF(B1516="East",22.6,
IF(B1516="West",19,
23.5))))</f>
        <v>13</v>
      </c>
      <c r="L1516" s="1">
        <f>IF(B1516="North",77.2,
IF(B1516="South",80.2,
IF(B1516="East",88.4,
IF(B1516="West",72.8,
78.9))))</f>
        <v>80.2</v>
      </c>
    </row>
    <row r="1517" spans="1:12" x14ac:dyDescent="0.25">
      <c r="A1517" s="5">
        <v>45530</v>
      </c>
      <c r="B1517" s="1" t="s">
        <v>10</v>
      </c>
      <c r="C1517" s="1" t="s">
        <v>21</v>
      </c>
      <c r="D1517" s="1" t="s">
        <v>29</v>
      </c>
      <c r="E1517" s="10">
        <v>11</v>
      </c>
      <c r="F1517" s="10">
        <v>1800</v>
      </c>
      <c r="G1517" s="1" t="s">
        <v>35</v>
      </c>
      <c r="H1517" s="10">
        <f t="shared" si="48"/>
        <v>19800</v>
      </c>
      <c r="I1517" s="7">
        <v>17096.013329307749</v>
      </c>
      <c r="J1517" s="7">
        <f t="shared" si="49"/>
        <v>2703.9866706922512</v>
      </c>
      <c r="K1517" s="1">
        <f>IF(B1517="North",28.6,
IF(B1517="South",13,
IF(B1517="East",22.6,
IF(B1517="West",19,
23.5))))</f>
        <v>28.6</v>
      </c>
      <c r="L1517" s="1">
        <f>IF(B1517="North",77.2,
IF(B1517="South",80.2,
IF(B1517="East",88.4,
IF(B1517="West",72.8,
78.9))))</f>
        <v>77.2</v>
      </c>
    </row>
    <row r="1518" spans="1:12" x14ac:dyDescent="0.25">
      <c r="A1518" s="5">
        <v>45557</v>
      </c>
      <c r="B1518" s="1" t="s">
        <v>10</v>
      </c>
      <c r="C1518" s="1" t="s">
        <v>18</v>
      </c>
      <c r="D1518" s="1" t="s">
        <v>32</v>
      </c>
      <c r="E1518" s="10">
        <v>5</v>
      </c>
      <c r="F1518" s="10">
        <v>1262</v>
      </c>
      <c r="G1518" s="1" t="s">
        <v>34</v>
      </c>
      <c r="H1518" s="10">
        <f t="shared" si="48"/>
        <v>6310</v>
      </c>
      <c r="I1518" s="7">
        <v>5317.6003958157307</v>
      </c>
      <c r="J1518" s="7">
        <f t="shared" si="49"/>
        <v>992.39960418426926</v>
      </c>
      <c r="K1518" s="1">
        <f>IF(B1518="North",28.6,
IF(B1518="South",13,
IF(B1518="East",22.6,
IF(B1518="West",19,
23.5))))</f>
        <v>28.6</v>
      </c>
      <c r="L1518" s="1">
        <f>IF(B1518="North",77.2,
IF(B1518="South",80.2,
IF(B1518="East",88.4,
IF(B1518="West",72.8,
78.9))))</f>
        <v>77.2</v>
      </c>
    </row>
    <row r="1519" spans="1:12" x14ac:dyDescent="0.25">
      <c r="A1519" s="5">
        <v>45650</v>
      </c>
      <c r="B1519" s="1" t="s">
        <v>11</v>
      </c>
      <c r="C1519" s="1" t="s">
        <v>23</v>
      </c>
      <c r="D1519" s="1" t="s">
        <v>27</v>
      </c>
      <c r="E1519" s="10">
        <v>3</v>
      </c>
      <c r="F1519" s="10">
        <v>1399</v>
      </c>
      <c r="G1519" s="1" t="s">
        <v>34</v>
      </c>
      <c r="H1519" s="10">
        <f t="shared" si="48"/>
        <v>4197</v>
      </c>
      <c r="I1519" s="7">
        <v>3233.1439001881431</v>
      </c>
      <c r="J1519" s="7">
        <f t="shared" si="49"/>
        <v>963.85609981185689</v>
      </c>
      <c r="K1519" s="1">
        <f>IF(B1519="North",28.6,
IF(B1519="South",13,
IF(B1519="East",22.6,
IF(B1519="West",19,
23.5))))</f>
        <v>19</v>
      </c>
      <c r="L1519" s="1">
        <f>IF(B1519="North",77.2,
IF(B1519="South",80.2,
IF(B1519="East",88.4,
IF(B1519="West",72.8,
78.9))))</f>
        <v>72.8</v>
      </c>
    </row>
    <row r="1520" spans="1:12" x14ac:dyDescent="0.25">
      <c r="A1520" s="5">
        <v>45631</v>
      </c>
      <c r="B1520" s="1" t="s">
        <v>12</v>
      </c>
      <c r="C1520" s="1" t="s">
        <v>17</v>
      </c>
      <c r="D1520" s="1" t="s">
        <v>26</v>
      </c>
      <c r="E1520" s="10">
        <v>13</v>
      </c>
      <c r="F1520" s="10">
        <v>390</v>
      </c>
      <c r="G1520" s="1" t="s">
        <v>33</v>
      </c>
      <c r="H1520" s="10">
        <f t="shared" si="48"/>
        <v>5070</v>
      </c>
      <c r="I1520" s="7">
        <v>4561.0580701518629</v>
      </c>
      <c r="J1520" s="7">
        <f t="shared" si="49"/>
        <v>508.94192984813708</v>
      </c>
      <c r="K1520" s="1">
        <f>IF(B1520="North",28.6,
IF(B1520="South",13,
IF(B1520="East",22.6,
IF(B1520="West",19,
23.5))))</f>
        <v>22.6</v>
      </c>
      <c r="L1520" s="1">
        <f>IF(B1520="North",77.2,
IF(B1520="South",80.2,
IF(B1520="East",88.4,
IF(B1520="West",72.8,
78.9))))</f>
        <v>88.4</v>
      </c>
    </row>
    <row r="1521" spans="1:12" x14ac:dyDescent="0.25">
      <c r="A1521" s="5">
        <v>45356</v>
      </c>
      <c r="B1521" s="1" t="s">
        <v>13</v>
      </c>
      <c r="C1521" s="1" t="s">
        <v>24</v>
      </c>
      <c r="D1521" s="1" t="s">
        <v>26</v>
      </c>
      <c r="E1521" s="10">
        <v>10</v>
      </c>
      <c r="F1521" s="10">
        <v>1176</v>
      </c>
      <c r="G1521" s="1" t="s">
        <v>35</v>
      </c>
      <c r="H1521" s="10">
        <f t="shared" si="48"/>
        <v>11760</v>
      </c>
      <c r="I1521" s="7">
        <v>10418.367710727391</v>
      </c>
      <c r="J1521" s="7">
        <f t="shared" si="49"/>
        <v>1341.6322892726093</v>
      </c>
      <c r="K1521" s="1">
        <f>IF(B1521="North",28.6,
IF(B1521="South",13,
IF(B1521="East",22.6,
IF(B1521="West",19,
23.5))))</f>
        <v>13</v>
      </c>
      <c r="L1521" s="1">
        <f>IF(B1521="North",77.2,
IF(B1521="South",80.2,
IF(B1521="East",88.4,
IF(B1521="West",72.8,
78.9))))</f>
        <v>80.2</v>
      </c>
    </row>
    <row r="1522" spans="1:12" x14ac:dyDescent="0.25">
      <c r="A1522" s="5">
        <v>45468</v>
      </c>
      <c r="B1522" s="1" t="s">
        <v>12</v>
      </c>
      <c r="C1522" s="1" t="s">
        <v>21</v>
      </c>
      <c r="D1522" s="1" t="s">
        <v>31</v>
      </c>
      <c r="E1522" s="10">
        <v>11</v>
      </c>
      <c r="F1522" s="10">
        <v>1810</v>
      </c>
      <c r="G1522" s="1" t="s">
        <v>35</v>
      </c>
      <c r="H1522" s="10">
        <f t="shared" si="48"/>
        <v>19910</v>
      </c>
      <c r="I1522" s="7">
        <v>15858.965882078939</v>
      </c>
      <c r="J1522" s="7">
        <f t="shared" si="49"/>
        <v>4051.0341179210609</v>
      </c>
      <c r="K1522" s="1">
        <f>IF(B1522="North",28.6,
IF(B1522="South",13,
IF(B1522="East",22.6,
IF(B1522="West",19,
23.5))))</f>
        <v>22.6</v>
      </c>
      <c r="L1522" s="1">
        <f>IF(B1522="North",77.2,
IF(B1522="South",80.2,
IF(B1522="East",88.4,
IF(B1522="West",72.8,
78.9))))</f>
        <v>88.4</v>
      </c>
    </row>
    <row r="1523" spans="1:12" x14ac:dyDescent="0.25">
      <c r="A1523" s="5">
        <v>45294</v>
      </c>
      <c r="B1523" s="1" t="s">
        <v>12</v>
      </c>
      <c r="C1523" s="1" t="s">
        <v>18</v>
      </c>
      <c r="D1523" s="1" t="s">
        <v>28</v>
      </c>
      <c r="E1523" s="10">
        <v>18</v>
      </c>
      <c r="F1523" s="10">
        <v>1233</v>
      </c>
      <c r="G1523" s="1" t="s">
        <v>34</v>
      </c>
      <c r="H1523" s="10">
        <f t="shared" si="48"/>
        <v>22194</v>
      </c>
      <c r="I1523" s="7">
        <v>16409.63038226742</v>
      </c>
      <c r="J1523" s="7">
        <f t="shared" si="49"/>
        <v>5784.3696177325801</v>
      </c>
      <c r="K1523" s="1">
        <f>IF(B1523="North",28.6,
IF(B1523="South",13,
IF(B1523="East",22.6,
IF(B1523="West",19,
23.5))))</f>
        <v>22.6</v>
      </c>
      <c r="L1523" s="1">
        <f>IF(B1523="North",77.2,
IF(B1523="South",80.2,
IF(B1523="East",88.4,
IF(B1523="West",72.8,
78.9))))</f>
        <v>88.4</v>
      </c>
    </row>
    <row r="1524" spans="1:12" x14ac:dyDescent="0.25">
      <c r="A1524" s="5">
        <v>45433</v>
      </c>
      <c r="B1524" s="1" t="s">
        <v>12</v>
      </c>
      <c r="C1524" s="1" t="s">
        <v>20</v>
      </c>
      <c r="D1524" s="1" t="s">
        <v>30</v>
      </c>
      <c r="E1524" s="10">
        <v>2</v>
      </c>
      <c r="F1524" s="10">
        <v>814</v>
      </c>
      <c r="G1524" s="1" t="s">
        <v>33</v>
      </c>
      <c r="H1524" s="10">
        <f t="shared" si="48"/>
        <v>1628</v>
      </c>
      <c r="I1524" s="7">
        <v>1051.1201777496519</v>
      </c>
      <c r="J1524" s="7">
        <f t="shared" si="49"/>
        <v>576.87982225034807</v>
      </c>
      <c r="K1524" s="1">
        <f>IF(B1524="North",28.6,
IF(B1524="South",13,
IF(B1524="East",22.6,
IF(B1524="West",19,
23.5))))</f>
        <v>22.6</v>
      </c>
      <c r="L1524" s="1">
        <f>IF(B1524="North",77.2,
IF(B1524="South",80.2,
IF(B1524="East",88.4,
IF(B1524="West",72.8,
78.9))))</f>
        <v>88.4</v>
      </c>
    </row>
    <row r="1525" spans="1:12" x14ac:dyDescent="0.25">
      <c r="A1525" s="5">
        <v>45449</v>
      </c>
      <c r="B1525" s="1" t="s">
        <v>10</v>
      </c>
      <c r="C1525" s="1" t="s">
        <v>20</v>
      </c>
      <c r="D1525" s="1" t="s">
        <v>25</v>
      </c>
      <c r="E1525" s="10">
        <v>7</v>
      </c>
      <c r="F1525" s="10">
        <v>1047</v>
      </c>
      <c r="G1525" s="1" t="s">
        <v>33</v>
      </c>
      <c r="H1525" s="10">
        <f t="shared" si="48"/>
        <v>7329</v>
      </c>
      <c r="I1525" s="7">
        <v>5531.0360996127447</v>
      </c>
      <c r="J1525" s="7">
        <f t="shared" si="49"/>
        <v>1797.9639003872553</v>
      </c>
      <c r="K1525" s="1">
        <f>IF(B1525="North",28.6,
IF(B1525="South",13,
IF(B1525="East",22.6,
IF(B1525="West",19,
23.5))))</f>
        <v>28.6</v>
      </c>
      <c r="L1525" s="1">
        <f>IF(B1525="North",77.2,
IF(B1525="South",80.2,
IF(B1525="East",88.4,
IF(B1525="West",72.8,
78.9))))</f>
        <v>77.2</v>
      </c>
    </row>
    <row r="1526" spans="1:12" x14ac:dyDescent="0.25">
      <c r="A1526" s="5">
        <v>45615</v>
      </c>
      <c r="B1526" s="1" t="s">
        <v>11</v>
      </c>
      <c r="C1526" s="1" t="s">
        <v>23</v>
      </c>
      <c r="D1526" s="1" t="s">
        <v>36</v>
      </c>
      <c r="E1526" s="10">
        <v>9</v>
      </c>
      <c r="F1526" s="10">
        <v>747</v>
      </c>
      <c r="G1526" s="1" t="s">
        <v>34</v>
      </c>
      <c r="H1526" s="10">
        <f t="shared" si="48"/>
        <v>6723</v>
      </c>
      <c r="I1526" s="7">
        <v>4351.9532138428194</v>
      </c>
      <c r="J1526" s="7">
        <f t="shared" si="49"/>
        <v>2371.0467861571806</v>
      </c>
      <c r="K1526" s="1">
        <f>IF(B1526="North",28.6,
IF(B1526="South",13,
IF(B1526="East",22.6,
IF(B1526="West",19,
23.5))))</f>
        <v>19</v>
      </c>
      <c r="L1526" s="1">
        <f>IF(B1526="North",77.2,
IF(B1526="South",80.2,
IF(B1526="East",88.4,
IF(B1526="West",72.8,
78.9))))</f>
        <v>72.8</v>
      </c>
    </row>
    <row r="1527" spans="1:12" x14ac:dyDescent="0.25">
      <c r="A1527" s="5">
        <v>45437</v>
      </c>
      <c r="B1527" s="1" t="s">
        <v>10</v>
      </c>
      <c r="C1527" s="1" t="s">
        <v>22</v>
      </c>
      <c r="D1527" s="1" t="s">
        <v>30</v>
      </c>
      <c r="E1527" s="10">
        <v>10</v>
      </c>
      <c r="F1527" s="10">
        <v>1127</v>
      </c>
      <c r="G1527" s="1" t="s">
        <v>35</v>
      </c>
      <c r="H1527" s="10">
        <f t="shared" si="48"/>
        <v>11270</v>
      </c>
      <c r="I1527" s="7">
        <v>8109.1638596563653</v>
      </c>
      <c r="J1527" s="7">
        <f t="shared" si="49"/>
        <v>3160.8361403436347</v>
      </c>
      <c r="K1527" s="1">
        <f>IF(B1527="North",28.6,
IF(B1527="South",13,
IF(B1527="East",22.6,
IF(B1527="West",19,
23.5))))</f>
        <v>28.6</v>
      </c>
      <c r="L1527" s="1">
        <f>IF(B1527="North",77.2,
IF(B1527="South",80.2,
IF(B1527="East",88.4,
IF(B1527="West",72.8,
78.9))))</f>
        <v>77.2</v>
      </c>
    </row>
    <row r="1528" spans="1:12" x14ac:dyDescent="0.25">
      <c r="A1528" s="5">
        <v>45584</v>
      </c>
      <c r="B1528" s="1" t="s">
        <v>11</v>
      </c>
      <c r="C1528" s="1" t="s">
        <v>23</v>
      </c>
      <c r="D1528" s="1" t="s">
        <v>31</v>
      </c>
      <c r="E1528" s="10">
        <v>18</v>
      </c>
      <c r="F1528" s="10">
        <v>1790</v>
      </c>
      <c r="G1528" s="1" t="s">
        <v>34</v>
      </c>
      <c r="H1528" s="10">
        <f t="shared" si="48"/>
        <v>32220</v>
      </c>
      <c r="I1528" s="7">
        <v>28443.636616110969</v>
      </c>
      <c r="J1528" s="7">
        <f t="shared" si="49"/>
        <v>3776.363383889031</v>
      </c>
      <c r="K1528" s="1">
        <f>IF(B1528="North",28.6,
IF(B1528="South",13,
IF(B1528="East",22.6,
IF(B1528="West",19,
23.5))))</f>
        <v>19</v>
      </c>
      <c r="L1528" s="1">
        <f>IF(B1528="North",77.2,
IF(B1528="South",80.2,
IF(B1528="East",88.4,
IF(B1528="West",72.8,
78.9))))</f>
        <v>72.8</v>
      </c>
    </row>
    <row r="1529" spans="1:12" x14ac:dyDescent="0.25">
      <c r="A1529" s="5">
        <v>45444</v>
      </c>
      <c r="B1529" s="1" t="s">
        <v>13</v>
      </c>
      <c r="C1529" s="1" t="s">
        <v>24</v>
      </c>
      <c r="D1529" s="1" t="s">
        <v>31</v>
      </c>
      <c r="E1529" s="10">
        <v>7</v>
      </c>
      <c r="F1529" s="10">
        <v>783</v>
      </c>
      <c r="G1529" s="1" t="s">
        <v>35</v>
      </c>
      <c r="H1529" s="10">
        <f t="shared" si="48"/>
        <v>5481</v>
      </c>
      <c r="I1529" s="7">
        <v>3850.9160521645881</v>
      </c>
      <c r="J1529" s="7">
        <f t="shared" si="49"/>
        <v>1630.0839478354119</v>
      </c>
      <c r="K1529" s="1">
        <f>IF(B1529="North",28.6,
IF(B1529="South",13,
IF(B1529="East",22.6,
IF(B1529="West",19,
23.5))))</f>
        <v>13</v>
      </c>
      <c r="L1529" s="1">
        <f>IF(B1529="North",77.2,
IF(B1529="South",80.2,
IF(B1529="East",88.4,
IF(B1529="West",72.8,
78.9))))</f>
        <v>80.2</v>
      </c>
    </row>
    <row r="1530" spans="1:12" x14ac:dyDescent="0.25">
      <c r="A1530" s="5">
        <v>45484</v>
      </c>
      <c r="B1530" s="1" t="s">
        <v>13</v>
      </c>
      <c r="C1530" s="1" t="s">
        <v>21</v>
      </c>
      <c r="D1530" s="1" t="s">
        <v>29</v>
      </c>
      <c r="E1530" s="10">
        <v>7</v>
      </c>
      <c r="F1530" s="10">
        <v>969</v>
      </c>
      <c r="G1530" s="1" t="s">
        <v>35</v>
      </c>
      <c r="H1530" s="10">
        <f t="shared" si="48"/>
        <v>6783</v>
      </c>
      <c r="I1530" s="7">
        <v>4380.7068231370913</v>
      </c>
      <c r="J1530" s="7">
        <f t="shared" si="49"/>
        <v>2402.2931768629087</v>
      </c>
      <c r="K1530" s="1">
        <f>IF(B1530="North",28.6,
IF(B1530="South",13,
IF(B1530="East",22.6,
IF(B1530="West",19,
23.5))))</f>
        <v>13</v>
      </c>
      <c r="L1530" s="1">
        <f>IF(B1530="North",77.2,
IF(B1530="South",80.2,
IF(B1530="East",88.4,
IF(B1530="West",72.8,
78.9))))</f>
        <v>80.2</v>
      </c>
    </row>
    <row r="1531" spans="1:12" x14ac:dyDescent="0.25">
      <c r="A1531" s="5">
        <v>45364</v>
      </c>
      <c r="B1531" s="1" t="s">
        <v>12</v>
      </c>
      <c r="C1531" s="1" t="s">
        <v>21</v>
      </c>
      <c r="D1531" s="1" t="s">
        <v>25</v>
      </c>
      <c r="E1531" s="10">
        <v>3</v>
      </c>
      <c r="F1531" s="10">
        <v>1170</v>
      </c>
      <c r="G1531" s="1" t="s">
        <v>35</v>
      </c>
      <c r="H1531" s="10">
        <f t="shared" si="48"/>
        <v>3510</v>
      </c>
      <c r="I1531" s="7">
        <v>2719.2636242607341</v>
      </c>
      <c r="J1531" s="7">
        <f t="shared" si="49"/>
        <v>790.7363757392659</v>
      </c>
      <c r="K1531" s="1">
        <f>IF(B1531="North",28.6,
IF(B1531="South",13,
IF(B1531="East",22.6,
IF(B1531="West",19,
23.5))))</f>
        <v>22.6</v>
      </c>
      <c r="L1531" s="1">
        <f>IF(B1531="North",77.2,
IF(B1531="South",80.2,
IF(B1531="East",88.4,
IF(B1531="West",72.8,
78.9))))</f>
        <v>88.4</v>
      </c>
    </row>
    <row r="1532" spans="1:12" x14ac:dyDescent="0.25">
      <c r="A1532" s="5">
        <v>45596</v>
      </c>
      <c r="B1532" s="1" t="s">
        <v>11</v>
      </c>
      <c r="C1532" s="1" t="s">
        <v>19</v>
      </c>
      <c r="D1532" s="1" t="s">
        <v>28</v>
      </c>
      <c r="E1532" s="10">
        <v>12</v>
      </c>
      <c r="F1532" s="10">
        <v>193</v>
      </c>
      <c r="G1532" s="1" t="s">
        <v>35</v>
      </c>
      <c r="H1532" s="10">
        <f t="shared" si="48"/>
        <v>2316</v>
      </c>
      <c r="I1532" s="7">
        <v>1808.122628183768</v>
      </c>
      <c r="J1532" s="7">
        <f t="shared" si="49"/>
        <v>507.87737181623197</v>
      </c>
      <c r="K1532" s="1">
        <f>IF(B1532="North",28.6,
IF(B1532="South",13,
IF(B1532="East",22.6,
IF(B1532="West",19,
23.5))))</f>
        <v>19</v>
      </c>
      <c r="L1532" s="1">
        <f>IF(B1532="North",77.2,
IF(B1532="South",80.2,
IF(B1532="East",88.4,
IF(B1532="West",72.8,
78.9))))</f>
        <v>72.8</v>
      </c>
    </row>
    <row r="1533" spans="1:12" x14ac:dyDescent="0.25">
      <c r="A1533" s="5">
        <v>45635</v>
      </c>
      <c r="B1533" s="1" t="s">
        <v>11</v>
      </c>
      <c r="C1533" s="1" t="s">
        <v>22</v>
      </c>
      <c r="D1533" s="1" t="s">
        <v>29</v>
      </c>
      <c r="E1533" s="10">
        <v>7</v>
      </c>
      <c r="F1533" s="10">
        <v>1039</v>
      </c>
      <c r="G1533" s="1" t="s">
        <v>35</v>
      </c>
      <c r="H1533" s="10">
        <f t="shared" si="48"/>
        <v>7273</v>
      </c>
      <c r="I1533" s="7">
        <v>4786.6614766407456</v>
      </c>
      <c r="J1533" s="7">
        <f t="shared" si="49"/>
        <v>2486.3385233592544</v>
      </c>
      <c r="K1533" s="1">
        <f>IF(B1533="North",28.6,
IF(B1533="South",13,
IF(B1533="East",22.6,
IF(B1533="West",19,
23.5))))</f>
        <v>19</v>
      </c>
      <c r="L1533" s="1">
        <f>IF(B1533="North",77.2,
IF(B1533="South",80.2,
IF(B1533="East",88.4,
IF(B1533="West",72.8,
78.9))))</f>
        <v>72.8</v>
      </c>
    </row>
    <row r="1534" spans="1:12" x14ac:dyDescent="0.25">
      <c r="A1534" s="5">
        <v>45431</v>
      </c>
      <c r="B1534" s="1" t="s">
        <v>11</v>
      </c>
      <c r="C1534" s="1" t="s">
        <v>22</v>
      </c>
      <c r="D1534" s="1" t="s">
        <v>29</v>
      </c>
      <c r="E1534" s="10">
        <v>17</v>
      </c>
      <c r="F1534" s="10">
        <v>659</v>
      </c>
      <c r="G1534" s="1" t="s">
        <v>35</v>
      </c>
      <c r="H1534" s="10">
        <f t="shared" si="48"/>
        <v>11203</v>
      </c>
      <c r="I1534" s="7">
        <v>7382.5078622042101</v>
      </c>
      <c r="J1534" s="7">
        <f t="shared" si="49"/>
        <v>3820.4921377957899</v>
      </c>
      <c r="K1534" s="1">
        <f>IF(B1534="North",28.6,
IF(B1534="South",13,
IF(B1534="East",22.6,
IF(B1534="West",19,
23.5))))</f>
        <v>19</v>
      </c>
      <c r="L1534" s="1">
        <f>IF(B1534="North",77.2,
IF(B1534="South",80.2,
IF(B1534="East",88.4,
IF(B1534="West",72.8,
78.9))))</f>
        <v>72.8</v>
      </c>
    </row>
    <row r="1535" spans="1:12" x14ac:dyDescent="0.25">
      <c r="A1535" s="5">
        <v>45478</v>
      </c>
      <c r="B1535" s="1" t="s">
        <v>12</v>
      </c>
      <c r="C1535" s="1" t="s">
        <v>21</v>
      </c>
      <c r="D1535" s="1" t="s">
        <v>32</v>
      </c>
      <c r="E1535" s="10">
        <v>1</v>
      </c>
      <c r="F1535" s="10">
        <v>1875</v>
      </c>
      <c r="G1535" s="1" t="s">
        <v>35</v>
      </c>
      <c r="H1535" s="10">
        <f t="shared" si="48"/>
        <v>1875</v>
      </c>
      <c r="I1535" s="7">
        <v>1681.621757620215</v>
      </c>
      <c r="J1535" s="7">
        <f t="shared" si="49"/>
        <v>193.37824237978498</v>
      </c>
      <c r="K1535" s="1">
        <f>IF(B1535="North",28.6,
IF(B1535="South",13,
IF(B1535="East",22.6,
IF(B1535="West",19,
23.5))))</f>
        <v>22.6</v>
      </c>
      <c r="L1535" s="1">
        <f>IF(B1535="North",77.2,
IF(B1535="South",80.2,
IF(B1535="East",88.4,
IF(B1535="West",72.8,
78.9))))</f>
        <v>88.4</v>
      </c>
    </row>
    <row r="1536" spans="1:12" x14ac:dyDescent="0.25">
      <c r="A1536" s="5">
        <v>45584</v>
      </c>
      <c r="B1536" s="1" t="s">
        <v>12</v>
      </c>
      <c r="C1536" s="1" t="s">
        <v>21</v>
      </c>
      <c r="D1536" s="1" t="s">
        <v>25</v>
      </c>
      <c r="E1536" s="10">
        <v>5</v>
      </c>
      <c r="F1536" s="10">
        <v>1982</v>
      </c>
      <c r="G1536" s="1" t="s">
        <v>35</v>
      </c>
      <c r="H1536" s="10">
        <f t="shared" si="48"/>
        <v>9910</v>
      </c>
      <c r="I1536" s="7">
        <v>6669.2746296193563</v>
      </c>
      <c r="J1536" s="7">
        <f t="shared" si="49"/>
        <v>3240.7253703806437</v>
      </c>
      <c r="K1536" s="1">
        <f>IF(B1536="North",28.6,
IF(B1536="South",13,
IF(B1536="East",22.6,
IF(B1536="West",19,
23.5))))</f>
        <v>22.6</v>
      </c>
      <c r="L1536" s="1">
        <f>IF(B1536="North",77.2,
IF(B1536="South",80.2,
IF(B1536="East",88.4,
IF(B1536="West",72.8,
78.9))))</f>
        <v>88.4</v>
      </c>
    </row>
    <row r="1537" spans="1:12" x14ac:dyDescent="0.25">
      <c r="A1537" s="5">
        <v>45352</v>
      </c>
      <c r="B1537" s="1" t="s">
        <v>13</v>
      </c>
      <c r="C1537" s="1" t="s">
        <v>17</v>
      </c>
      <c r="D1537" s="1" t="s">
        <v>28</v>
      </c>
      <c r="E1537" s="10">
        <v>16</v>
      </c>
      <c r="F1537" s="10">
        <v>312</v>
      </c>
      <c r="G1537" s="1" t="s">
        <v>33</v>
      </c>
      <c r="H1537" s="10">
        <f t="shared" si="48"/>
        <v>4992</v>
      </c>
      <c r="I1537" s="7">
        <v>4250.4763912918961</v>
      </c>
      <c r="J1537" s="7">
        <f t="shared" si="49"/>
        <v>741.52360870810389</v>
      </c>
      <c r="K1537" s="1">
        <f>IF(B1537="North",28.6,
IF(B1537="South",13,
IF(B1537="East",22.6,
IF(B1537="West",19,
23.5))))</f>
        <v>13</v>
      </c>
      <c r="L1537" s="1">
        <f>IF(B1537="North",77.2,
IF(B1537="South",80.2,
IF(B1537="East",88.4,
IF(B1537="West",72.8,
78.9))))</f>
        <v>80.2</v>
      </c>
    </row>
    <row r="1538" spans="1:12" x14ac:dyDescent="0.25">
      <c r="A1538" s="5">
        <v>45489</v>
      </c>
      <c r="B1538" s="1" t="s">
        <v>10</v>
      </c>
      <c r="C1538" s="1" t="s">
        <v>18</v>
      </c>
      <c r="D1538" s="1" t="s">
        <v>26</v>
      </c>
      <c r="E1538" s="10">
        <v>15</v>
      </c>
      <c r="F1538" s="10">
        <v>535</v>
      </c>
      <c r="G1538" s="1" t="s">
        <v>34</v>
      </c>
      <c r="H1538" s="10">
        <f t="shared" si="48"/>
        <v>8025</v>
      </c>
      <c r="I1538" s="7">
        <v>5947.3046100019455</v>
      </c>
      <c r="J1538" s="7">
        <f t="shared" si="49"/>
        <v>2077.6953899980545</v>
      </c>
      <c r="K1538" s="1">
        <f>IF(B1538="North",28.6,
IF(B1538="South",13,
IF(B1538="East",22.6,
IF(B1538="West",19,
23.5))))</f>
        <v>28.6</v>
      </c>
      <c r="L1538" s="1">
        <f>IF(B1538="North",77.2,
IF(B1538="South",80.2,
IF(B1538="East",88.4,
IF(B1538="West",72.8,
78.9))))</f>
        <v>77.2</v>
      </c>
    </row>
    <row r="1539" spans="1:12" x14ac:dyDescent="0.25">
      <c r="A1539" s="5">
        <v>45586</v>
      </c>
      <c r="B1539" s="1" t="s">
        <v>11</v>
      </c>
      <c r="C1539" s="1" t="s">
        <v>17</v>
      </c>
      <c r="D1539" s="1" t="s">
        <v>32</v>
      </c>
      <c r="E1539" s="10">
        <v>2</v>
      </c>
      <c r="F1539" s="10">
        <v>951</v>
      </c>
      <c r="G1539" s="1" t="s">
        <v>33</v>
      </c>
      <c r="H1539" s="10">
        <f t="shared" ref="H1539:H1602" si="50">E1539*F1539</f>
        <v>1902</v>
      </c>
      <c r="I1539" s="7">
        <v>1389.4048597236031</v>
      </c>
      <c r="J1539" s="7">
        <f t="shared" ref="J1539:J1602" si="51">H1539-I1539</f>
        <v>512.59514027639693</v>
      </c>
      <c r="K1539" s="1">
        <f>IF(B1539="North",28.6,
IF(B1539="South",13,
IF(B1539="East",22.6,
IF(B1539="West",19,
23.5))))</f>
        <v>19</v>
      </c>
      <c r="L1539" s="1">
        <f>IF(B1539="North",77.2,
IF(B1539="South",80.2,
IF(B1539="East",88.4,
IF(B1539="West",72.8,
78.9))))</f>
        <v>72.8</v>
      </c>
    </row>
    <row r="1540" spans="1:12" x14ac:dyDescent="0.25">
      <c r="A1540" s="5">
        <v>45610</v>
      </c>
      <c r="B1540" s="1" t="s">
        <v>11</v>
      </c>
      <c r="C1540" s="1" t="s">
        <v>17</v>
      </c>
      <c r="D1540" s="1" t="s">
        <v>27</v>
      </c>
      <c r="E1540" s="10">
        <v>9</v>
      </c>
      <c r="F1540" s="10">
        <v>607</v>
      </c>
      <c r="G1540" s="1" t="s">
        <v>33</v>
      </c>
      <c r="H1540" s="10">
        <f t="shared" si="50"/>
        <v>5463</v>
      </c>
      <c r="I1540" s="7">
        <v>3761.2139038507739</v>
      </c>
      <c r="J1540" s="7">
        <f t="shared" si="51"/>
        <v>1701.7860961492261</v>
      </c>
      <c r="K1540" s="1">
        <f>IF(B1540="North",28.6,
IF(B1540="South",13,
IF(B1540="East",22.6,
IF(B1540="West",19,
23.5))))</f>
        <v>19</v>
      </c>
      <c r="L1540" s="1">
        <f>IF(B1540="North",77.2,
IF(B1540="South",80.2,
IF(B1540="East",88.4,
IF(B1540="West",72.8,
78.9))))</f>
        <v>72.8</v>
      </c>
    </row>
    <row r="1541" spans="1:12" x14ac:dyDescent="0.25">
      <c r="A1541" s="5">
        <v>45593</v>
      </c>
      <c r="B1541" s="1" t="s">
        <v>10</v>
      </c>
      <c r="C1541" s="1" t="s">
        <v>22</v>
      </c>
      <c r="D1541" s="1" t="s">
        <v>25</v>
      </c>
      <c r="E1541" s="10">
        <v>7</v>
      </c>
      <c r="F1541" s="10">
        <v>935</v>
      </c>
      <c r="G1541" s="1" t="s">
        <v>35</v>
      </c>
      <c r="H1541" s="10">
        <f t="shared" si="50"/>
        <v>6545</v>
      </c>
      <c r="I1541" s="7">
        <v>5446.4069521980919</v>
      </c>
      <c r="J1541" s="7">
        <f t="shared" si="51"/>
        <v>1098.5930478019081</v>
      </c>
      <c r="K1541" s="1">
        <f>IF(B1541="North",28.6,
IF(B1541="South",13,
IF(B1541="East",22.6,
IF(B1541="West",19,
23.5))))</f>
        <v>28.6</v>
      </c>
      <c r="L1541" s="1">
        <f>IF(B1541="North",77.2,
IF(B1541="South",80.2,
IF(B1541="East",88.4,
IF(B1541="West",72.8,
78.9))))</f>
        <v>77.2</v>
      </c>
    </row>
    <row r="1542" spans="1:12" x14ac:dyDescent="0.25">
      <c r="A1542" s="5">
        <v>45635</v>
      </c>
      <c r="B1542" s="1" t="s">
        <v>11</v>
      </c>
      <c r="C1542" s="1" t="s">
        <v>19</v>
      </c>
      <c r="D1542" s="1" t="s">
        <v>28</v>
      </c>
      <c r="E1542" s="10">
        <v>4</v>
      </c>
      <c r="F1542" s="10">
        <v>750</v>
      </c>
      <c r="G1542" s="1" t="s">
        <v>35</v>
      </c>
      <c r="H1542" s="10">
        <f t="shared" si="50"/>
        <v>3000</v>
      </c>
      <c r="I1542" s="7">
        <v>2592.594790597399</v>
      </c>
      <c r="J1542" s="7">
        <f t="shared" si="51"/>
        <v>407.40520940260103</v>
      </c>
      <c r="K1542" s="1">
        <f>IF(B1542="North",28.6,
IF(B1542="South",13,
IF(B1542="East",22.6,
IF(B1542="West",19,
23.5))))</f>
        <v>19</v>
      </c>
      <c r="L1542" s="1">
        <f>IF(B1542="North",77.2,
IF(B1542="South",80.2,
IF(B1542="East",88.4,
IF(B1542="West",72.8,
78.9))))</f>
        <v>72.8</v>
      </c>
    </row>
    <row r="1543" spans="1:12" x14ac:dyDescent="0.25">
      <c r="A1543" s="5">
        <v>45302</v>
      </c>
      <c r="B1543" s="1" t="s">
        <v>12</v>
      </c>
      <c r="C1543" s="1" t="s">
        <v>20</v>
      </c>
      <c r="D1543" s="1" t="s">
        <v>31</v>
      </c>
      <c r="E1543" s="10">
        <v>18</v>
      </c>
      <c r="F1543" s="10">
        <v>304</v>
      </c>
      <c r="G1543" s="1" t="s">
        <v>33</v>
      </c>
      <c r="H1543" s="10">
        <f t="shared" si="50"/>
        <v>5472</v>
      </c>
      <c r="I1543" s="7">
        <v>3711.8668408953858</v>
      </c>
      <c r="J1543" s="7">
        <f t="shared" si="51"/>
        <v>1760.1331591046142</v>
      </c>
      <c r="K1543" s="1">
        <f>IF(B1543="North",28.6,
IF(B1543="South",13,
IF(B1543="East",22.6,
IF(B1543="West",19,
23.5))))</f>
        <v>22.6</v>
      </c>
      <c r="L1543" s="1">
        <f>IF(B1543="North",77.2,
IF(B1543="South",80.2,
IF(B1543="East",88.4,
IF(B1543="West",72.8,
78.9))))</f>
        <v>88.4</v>
      </c>
    </row>
    <row r="1544" spans="1:12" x14ac:dyDescent="0.25">
      <c r="A1544" s="5">
        <v>45353</v>
      </c>
      <c r="B1544" s="1" t="s">
        <v>12</v>
      </c>
      <c r="C1544" s="1" t="s">
        <v>17</v>
      </c>
      <c r="D1544" s="1" t="s">
        <v>32</v>
      </c>
      <c r="E1544" s="10">
        <v>10</v>
      </c>
      <c r="F1544" s="10">
        <v>480</v>
      </c>
      <c r="G1544" s="1" t="s">
        <v>33</v>
      </c>
      <c r="H1544" s="10">
        <f t="shared" si="50"/>
        <v>4800</v>
      </c>
      <c r="I1544" s="7">
        <f>H1544*0.7</f>
        <v>3360</v>
      </c>
      <c r="J1544" s="7">
        <f t="shared" si="51"/>
        <v>1440</v>
      </c>
      <c r="K1544" s="1">
        <f>IF(B1544="North",28.6,
IF(B1544="South",13,
IF(B1544="East",22.6,
IF(B1544="West",19,
23.5))))</f>
        <v>22.6</v>
      </c>
      <c r="L1544" s="1">
        <f>IF(B1544="North",77.2,
IF(B1544="South",80.2,
IF(B1544="East",88.4,
IF(B1544="West",72.8,
78.9))))</f>
        <v>88.4</v>
      </c>
    </row>
    <row r="1545" spans="1:12" x14ac:dyDescent="0.25">
      <c r="A1545" s="5">
        <v>45624</v>
      </c>
      <c r="B1545" s="1" t="s">
        <v>11</v>
      </c>
      <c r="C1545" s="1" t="s">
        <v>19</v>
      </c>
      <c r="D1545" s="1" t="s">
        <v>28</v>
      </c>
      <c r="E1545" s="10">
        <v>13</v>
      </c>
      <c r="F1545" s="10">
        <v>1196</v>
      </c>
      <c r="G1545" s="1" t="s">
        <v>35</v>
      </c>
      <c r="H1545" s="10">
        <f t="shared" si="50"/>
        <v>15548</v>
      </c>
      <c r="I1545" s="7">
        <v>9967.4475624796396</v>
      </c>
      <c r="J1545" s="7">
        <f t="shared" si="51"/>
        <v>5580.5524375203604</v>
      </c>
      <c r="K1545" s="1">
        <f>IF(B1545="North",28.6,
IF(B1545="South",13,
IF(B1545="East",22.6,
IF(B1545="West",19,
23.5))))</f>
        <v>19</v>
      </c>
      <c r="L1545" s="1">
        <f>IF(B1545="North",77.2,
IF(B1545="South",80.2,
IF(B1545="East",88.4,
IF(B1545="West",72.8,
78.9))))</f>
        <v>72.8</v>
      </c>
    </row>
    <row r="1546" spans="1:12" x14ac:dyDescent="0.25">
      <c r="A1546" s="5">
        <v>45517</v>
      </c>
      <c r="B1546" s="1" t="s">
        <v>12</v>
      </c>
      <c r="C1546" s="1" t="s">
        <v>23</v>
      </c>
      <c r="D1546" s="1" t="s">
        <v>30</v>
      </c>
      <c r="E1546" s="10">
        <v>1</v>
      </c>
      <c r="F1546" s="10">
        <v>1639</v>
      </c>
      <c r="G1546" s="1" t="s">
        <v>34</v>
      </c>
      <c r="H1546" s="10">
        <f t="shared" si="50"/>
        <v>1639</v>
      </c>
      <c r="I1546" s="7">
        <v>1373.2214980445619</v>
      </c>
      <c r="J1546" s="7">
        <f t="shared" si="51"/>
        <v>265.77850195543806</v>
      </c>
      <c r="K1546" s="1">
        <f>IF(B1546="North",28.6,
IF(B1546="South",13,
IF(B1546="East",22.6,
IF(B1546="West",19,
23.5))))</f>
        <v>22.6</v>
      </c>
      <c r="L1546" s="1">
        <f>IF(B1546="North",77.2,
IF(B1546="South",80.2,
IF(B1546="East",88.4,
IF(B1546="West",72.8,
78.9))))</f>
        <v>88.4</v>
      </c>
    </row>
    <row r="1547" spans="1:12" x14ac:dyDescent="0.25">
      <c r="A1547" s="5">
        <v>45444</v>
      </c>
      <c r="B1547" s="1" t="s">
        <v>12</v>
      </c>
      <c r="C1547" s="1" t="s">
        <v>24</v>
      </c>
      <c r="D1547" s="1" t="s">
        <v>29</v>
      </c>
      <c r="E1547" s="10">
        <v>3</v>
      </c>
      <c r="F1547" s="10">
        <v>1199</v>
      </c>
      <c r="G1547" s="1" t="s">
        <v>35</v>
      </c>
      <c r="H1547" s="10">
        <f t="shared" si="50"/>
        <v>3597</v>
      </c>
      <c r="I1547" s="7">
        <v>2628.5008200050079</v>
      </c>
      <c r="J1547" s="7">
        <f t="shared" si="51"/>
        <v>968.49917999499212</v>
      </c>
      <c r="K1547" s="1">
        <f>IF(B1547="North",28.6,
IF(B1547="South",13,
IF(B1547="East",22.6,
IF(B1547="West",19,
23.5))))</f>
        <v>22.6</v>
      </c>
      <c r="L1547" s="1">
        <f>IF(B1547="North",77.2,
IF(B1547="South",80.2,
IF(B1547="East",88.4,
IF(B1547="West",72.8,
78.9))))</f>
        <v>88.4</v>
      </c>
    </row>
    <row r="1548" spans="1:12" x14ac:dyDescent="0.25">
      <c r="A1548" s="5">
        <v>45490</v>
      </c>
      <c r="B1548" s="1" t="s">
        <v>11</v>
      </c>
      <c r="C1548" s="1" t="s">
        <v>17</v>
      </c>
      <c r="D1548" s="1" t="s">
        <v>27</v>
      </c>
      <c r="E1548" s="10">
        <v>16</v>
      </c>
      <c r="F1548" s="10">
        <v>1964</v>
      </c>
      <c r="G1548" s="1" t="s">
        <v>33</v>
      </c>
      <c r="H1548" s="10">
        <f t="shared" si="50"/>
        <v>31424</v>
      </c>
      <c r="I1548" s="7">
        <v>20097.98586776957</v>
      </c>
      <c r="J1548" s="7">
        <f t="shared" si="51"/>
        <v>11326.01413223043</v>
      </c>
      <c r="K1548" s="1">
        <f>IF(B1548="North",28.6,
IF(B1548="South",13,
IF(B1548="East",22.6,
IF(B1548="West",19,
23.5))))</f>
        <v>19</v>
      </c>
      <c r="L1548" s="1">
        <f>IF(B1548="North",77.2,
IF(B1548="South",80.2,
IF(B1548="East",88.4,
IF(B1548="West",72.8,
78.9))))</f>
        <v>72.8</v>
      </c>
    </row>
    <row r="1549" spans="1:12" x14ac:dyDescent="0.25">
      <c r="A1549" s="5">
        <v>45343</v>
      </c>
      <c r="B1549" s="1" t="s">
        <v>13</v>
      </c>
      <c r="C1549" s="1" t="s">
        <v>23</v>
      </c>
      <c r="D1549" s="1" t="s">
        <v>26</v>
      </c>
      <c r="E1549" s="10">
        <v>4</v>
      </c>
      <c r="F1549" s="10">
        <v>176</v>
      </c>
      <c r="G1549" s="1" t="s">
        <v>34</v>
      </c>
      <c r="H1549" s="10">
        <f t="shared" si="50"/>
        <v>704</v>
      </c>
      <c r="I1549" s="7">
        <v>494.26886919582472</v>
      </c>
      <c r="J1549" s="7">
        <f t="shared" si="51"/>
        <v>209.73113080417528</v>
      </c>
      <c r="K1549" s="1">
        <f>IF(B1549="North",28.6,
IF(B1549="South",13,
IF(B1549="East",22.6,
IF(B1549="West",19,
23.5))))</f>
        <v>13</v>
      </c>
      <c r="L1549" s="1">
        <f>IF(B1549="North",77.2,
IF(B1549="South",80.2,
IF(B1549="East",88.4,
IF(B1549="West",72.8,
78.9))))</f>
        <v>80.2</v>
      </c>
    </row>
    <row r="1550" spans="1:12" x14ac:dyDescent="0.25">
      <c r="A1550" s="5">
        <v>45551</v>
      </c>
      <c r="B1550" s="1" t="s">
        <v>10</v>
      </c>
      <c r="C1550" s="1" t="s">
        <v>20</v>
      </c>
      <c r="D1550" s="1" t="s">
        <v>29</v>
      </c>
      <c r="E1550" s="10">
        <v>0</v>
      </c>
      <c r="F1550" s="10">
        <v>915</v>
      </c>
      <c r="G1550" s="1" t="s">
        <v>33</v>
      </c>
      <c r="H1550" s="10">
        <f t="shared" si="50"/>
        <v>0</v>
      </c>
      <c r="I1550" s="7">
        <v>0</v>
      </c>
      <c r="J1550" s="7">
        <f t="shared" si="51"/>
        <v>0</v>
      </c>
      <c r="K1550" s="1">
        <f>IF(B1550="North",28.6,
IF(B1550="South",13,
IF(B1550="East",22.6,
IF(B1550="West",19,
23.5))))</f>
        <v>28.6</v>
      </c>
      <c r="L1550" s="1">
        <f>IF(B1550="North",77.2,
IF(B1550="South",80.2,
IF(B1550="East",88.4,
IF(B1550="West",72.8,
78.9))))</f>
        <v>77.2</v>
      </c>
    </row>
    <row r="1551" spans="1:12" x14ac:dyDescent="0.25">
      <c r="A1551" s="5">
        <v>45350</v>
      </c>
      <c r="B1551" s="1" t="s">
        <v>12</v>
      </c>
      <c r="C1551" s="1" t="s">
        <v>24</v>
      </c>
      <c r="D1551" s="1" t="s">
        <v>30</v>
      </c>
      <c r="E1551" s="10">
        <v>19</v>
      </c>
      <c r="F1551" s="10">
        <v>867</v>
      </c>
      <c r="G1551" s="1" t="s">
        <v>35</v>
      </c>
      <c r="H1551" s="10">
        <f t="shared" si="50"/>
        <v>16473</v>
      </c>
      <c r="I1551" s="7">
        <v>14094.55421639365</v>
      </c>
      <c r="J1551" s="7">
        <f t="shared" si="51"/>
        <v>2378.4457836063502</v>
      </c>
      <c r="K1551" s="1">
        <f>IF(B1551="North",28.6,
IF(B1551="South",13,
IF(B1551="East",22.6,
IF(B1551="West",19,
23.5))))</f>
        <v>22.6</v>
      </c>
      <c r="L1551" s="1">
        <f>IF(B1551="North",77.2,
IF(B1551="South",80.2,
IF(B1551="East",88.4,
IF(B1551="West",72.8,
78.9))))</f>
        <v>88.4</v>
      </c>
    </row>
    <row r="1552" spans="1:12" x14ac:dyDescent="0.25">
      <c r="A1552" s="5">
        <v>45363</v>
      </c>
      <c r="B1552" s="1" t="s">
        <v>13</v>
      </c>
      <c r="C1552" s="1" t="s">
        <v>24</v>
      </c>
      <c r="D1552" s="1" t="s">
        <v>30</v>
      </c>
      <c r="E1552" s="10">
        <v>1</v>
      </c>
      <c r="F1552" s="10">
        <v>1073.5</v>
      </c>
      <c r="G1552" s="1" t="s">
        <v>35</v>
      </c>
      <c r="H1552" s="10">
        <f t="shared" si="50"/>
        <v>1073.5</v>
      </c>
      <c r="I1552" s="7">
        <f>H1552*0.7</f>
        <v>751.44999999999993</v>
      </c>
      <c r="J1552" s="7">
        <f t="shared" si="51"/>
        <v>322.05000000000007</v>
      </c>
      <c r="K1552" s="1">
        <f>IF(B1552="North",28.6,
IF(B1552="South",13,
IF(B1552="East",22.6,
IF(B1552="West",19,
23.5))))</f>
        <v>13</v>
      </c>
      <c r="L1552" s="1">
        <f>IF(B1552="North",77.2,
IF(B1552="South",80.2,
IF(B1552="East",88.4,
IF(B1552="West",72.8,
78.9))))</f>
        <v>80.2</v>
      </c>
    </row>
    <row r="1553" spans="1:12" x14ac:dyDescent="0.25">
      <c r="A1553" s="5">
        <v>45439</v>
      </c>
      <c r="B1553" s="1" t="s">
        <v>12</v>
      </c>
      <c r="C1553" s="1" t="s">
        <v>20</v>
      </c>
      <c r="D1553" s="1" t="s">
        <v>27</v>
      </c>
      <c r="E1553" s="10">
        <v>5</v>
      </c>
      <c r="F1553" s="10">
        <v>1737</v>
      </c>
      <c r="G1553" s="1" t="s">
        <v>33</v>
      </c>
      <c r="H1553" s="10">
        <f t="shared" si="50"/>
        <v>8685</v>
      </c>
      <c r="I1553" s="7">
        <v>5669.6534632139419</v>
      </c>
      <c r="J1553" s="7">
        <f t="shared" si="51"/>
        <v>3015.3465367860581</v>
      </c>
      <c r="K1553" s="1">
        <f>IF(B1553="North",28.6,
IF(B1553="South",13,
IF(B1553="East",22.6,
IF(B1553="West",19,
23.5))))</f>
        <v>22.6</v>
      </c>
      <c r="L1553" s="1">
        <f>IF(B1553="North",77.2,
IF(B1553="South",80.2,
IF(B1553="East",88.4,
IF(B1553="West",72.8,
78.9))))</f>
        <v>88.4</v>
      </c>
    </row>
    <row r="1554" spans="1:12" x14ac:dyDescent="0.25">
      <c r="A1554" s="5">
        <v>45640</v>
      </c>
      <c r="B1554" s="1" t="s">
        <v>12</v>
      </c>
      <c r="C1554" s="1" t="s">
        <v>17</v>
      </c>
      <c r="D1554" s="1" t="s">
        <v>26</v>
      </c>
      <c r="E1554" s="10">
        <v>19</v>
      </c>
      <c r="F1554" s="10">
        <v>205</v>
      </c>
      <c r="G1554" s="1" t="s">
        <v>33</v>
      </c>
      <c r="H1554" s="10">
        <f t="shared" si="50"/>
        <v>3895</v>
      </c>
      <c r="I1554" s="7">
        <v>2522.444119390716</v>
      </c>
      <c r="J1554" s="7">
        <f t="shared" si="51"/>
        <v>1372.555880609284</v>
      </c>
      <c r="K1554" s="1">
        <f>IF(B1554="North",28.6,
IF(B1554="South",13,
IF(B1554="East",22.6,
IF(B1554="West",19,
23.5))))</f>
        <v>22.6</v>
      </c>
      <c r="L1554" s="1">
        <f>IF(B1554="North",77.2,
IF(B1554="South",80.2,
IF(B1554="East",88.4,
IF(B1554="West",72.8,
78.9))))</f>
        <v>88.4</v>
      </c>
    </row>
    <row r="1555" spans="1:12" x14ac:dyDescent="0.25">
      <c r="A1555" s="5">
        <v>45354</v>
      </c>
      <c r="B1555" s="1" t="s">
        <v>10</v>
      </c>
      <c r="C1555" s="1" t="s">
        <v>22</v>
      </c>
      <c r="D1555" s="1" t="s">
        <v>31</v>
      </c>
      <c r="E1555" s="10">
        <v>11</v>
      </c>
      <c r="F1555" s="10">
        <v>1968</v>
      </c>
      <c r="G1555" s="1" t="s">
        <v>35</v>
      </c>
      <c r="H1555" s="10">
        <f t="shared" si="50"/>
        <v>21648</v>
      </c>
      <c r="I1555" s="7">
        <v>15666.663330009051</v>
      </c>
      <c r="J1555" s="7">
        <f t="shared" si="51"/>
        <v>5981.3366699909493</v>
      </c>
      <c r="K1555" s="1">
        <f>IF(B1555="North",28.6,
IF(B1555="South",13,
IF(B1555="East",22.6,
IF(B1555="West",19,
23.5))))</f>
        <v>28.6</v>
      </c>
      <c r="L1555" s="1">
        <f>IF(B1555="North",77.2,
IF(B1555="South",80.2,
IF(B1555="East",88.4,
IF(B1555="West",72.8,
78.9))))</f>
        <v>77.2</v>
      </c>
    </row>
    <row r="1556" spans="1:12" x14ac:dyDescent="0.25">
      <c r="A1556" s="5">
        <v>45601</v>
      </c>
      <c r="B1556" s="1" t="s">
        <v>12</v>
      </c>
      <c r="C1556" s="1" t="s">
        <v>20</v>
      </c>
      <c r="D1556" s="1" t="s">
        <v>32</v>
      </c>
      <c r="E1556" s="10">
        <v>13</v>
      </c>
      <c r="F1556" s="10">
        <v>650</v>
      </c>
      <c r="G1556" s="1" t="s">
        <v>33</v>
      </c>
      <c r="H1556" s="10">
        <f t="shared" si="50"/>
        <v>8450</v>
      </c>
      <c r="I1556" s="7">
        <v>5260.6138689239524</v>
      </c>
      <c r="J1556" s="7">
        <f t="shared" si="51"/>
        <v>3189.3861310760476</v>
      </c>
      <c r="K1556" s="1">
        <f>IF(B1556="North",28.6,
IF(B1556="South",13,
IF(B1556="East",22.6,
IF(B1556="West",19,
23.5))))</f>
        <v>22.6</v>
      </c>
      <c r="L1556" s="1">
        <f>IF(B1556="North",77.2,
IF(B1556="South",80.2,
IF(B1556="East",88.4,
IF(B1556="West",72.8,
78.9))))</f>
        <v>88.4</v>
      </c>
    </row>
    <row r="1557" spans="1:12" x14ac:dyDescent="0.25">
      <c r="A1557" s="5">
        <v>45534</v>
      </c>
      <c r="B1557" s="1" t="s">
        <v>10</v>
      </c>
      <c r="C1557" s="1" t="s">
        <v>20</v>
      </c>
      <c r="D1557" s="1" t="s">
        <v>25</v>
      </c>
      <c r="E1557" s="10">
        <v>5</v>
      </c>
      <c r="F1557" s="10">
        <v>1599</v>
      </c>
      <c r="G1557" s="1" t="s">
        <v>33</v>
      </c>
      <c r="H1557" s="10">
        <f t="shared" si="50"/>
        <v>7995</v>
      </c>
      <c r="I1557" s="7">
        <v>6609.2519028883689</v>
      </c>
      <c r="J1557" s="7">
        <f t="shared" si="51"/>
        <v>1385.7480971116311</v>
      </c>
      <c r="K1557" s="1">
        <f>IF(B1557="North",28.6,
IF(B1557="South",13,
IF(B1557="East",22.6,
IF(B1557="West",19,
23.5))))</f>
        <v>28.6</v>
      </c>
      <c r="L1557" s="1">
        <f>IF(B1557="North",77.2,
IF(B1557="South",80.2,
IF(B1557="East",88.4,
IF(B1557="West",72.8,
78.9))))</f>
        <v>77.2</v>
      </c>
    </row>
    <row r="1558" spans="1:12" x14ac:dyDescent="0.25">
      <c r="A1558" s="5">
        <v>45657</v>
      </c>
      <c r="B1558" s="1" t="s">
        <v>10</v>
      </c>
      <c r="C1558" s="1" t="s">
        <v>20</v>
      </c>
      <c r="D1558" s="1" t="s">
        <v>26</v>
      </c>
      <c r="E1558" s="10">
        <v>4</v>
      </c>
      <c r="F1558" s="10">
        <v>925</v>
      </c>
      <c r="G1558" s="1" t="s">
        <v>33</v>
      </c>
      <c r="H1558" s="10">
        <f t="shared" si="50"/>
        <v>3700</v>
      </c>
      <c r="I1558" s="7">
        <v>2665.6137405371869</v>
      </c>
      <c r="J1558" s="7">
        <f t="shared" si="51"/>
        <v>1034.3862594628131</v>
      </c>
      <c r="K1558" s="1">
        <f>IF(B1558="North",28.6,
IF(B1558="South",13,
IF(B1558="East",22.6,
IF(B1558="West",19,
23.5))))</f>
        <v>28.6</v>
      </c>
      <c r="L1558" s="1">
        <f>IF(B1558="North",77.2,
IF(B1558="South",80.2,
IF(B1558="East",88.4,
IF(B1558="West",72.8,
78.9))))</f>
        <v>77.2</v>
      </c>
    </row>
    <row r="1559" spans="1:12" x14ac:dyDescent="0.25">
      <c r="A1559" s="5">
        <v>45621</v>
      </c>
      <c r="B1559" s="1" t="s">
        <v>10</v>
      </c>
      <c r="C1559" s="1" t="s">
        <v>24</v>
      </c>
      <c r="D1559" s="1" t="s">
        <v>25</v>
      </c>
      <c r="E1559" s="10">
        <v>4</v>
      </c>
      <c r="F1559" s="10">
        <v>1398</v>
      </c>
      <c r="G1559" s="1" t="s">
        <v>35</v>
      </c>
      <c r="H1559" s="10">
        <f t="shared" si="50"/>
        <v>5592</v>
      </c>
      <c r="I1559" s="7">
        <v>3930.6566812180599</v>
      </c>
      <c r="J1559" s="7">
        <f t="shared" si="51"/>
        <v>1661.3433187819401</v>
      </c>
      <c r="K1559" s="1">
        <f>IF(B1559="North",28.6,
IF(B1559="South",13,
IF(B1559="East",22.6,
IF(B1559="West",19,
23.5))))</f>
        <v>28.6</v>
      </c>
      <c r="L1559" s="1">
        <f>IF(B1559="North",77.2,
IF(B1559="South",80.2,
IF(B1559="East",88.4,
IF(B1559="West",72.8,
78.9))))</f>
        <v>77.2</v>
      </c>
    </row>
    <row r="1560" spans="1:12" x14ac:dyDescent="0.25">
      <c r="A1560" s="5">
        <v>45398</v>
      </c>
      <c r="B1560" s="1" t="s">
        <v>13</v>
      </c>
      <c r="C1560" s="1" t="s">
        <v>18</v>
      </c>
      <c r="D1560" s="1" t="s">
        <v>28</v>
      </c>
      <c r="E1560" s="10">
        <v>4</v>
      </c>
      <c r="F1560" s="10">
        <v>187</v>
      </c>
      <c r="G1560" s="1" t="s">
        <v>34</v>
      </c>
      <c r="H1560" s="10">
        <f t="shared" si="50"/>
        <v>748</v>
      </c>
      <c r="I1560" s="7">
        <v>563.04390978863819</v>
      </c>
      <c r="J1560" s="7">
        <f t="shared" si="51"/>
        <v>184.95609021136181</v>
      </c>
      <c r="K1560" s="1">
        <f>IF(B1560="North",28.6,
IF(B1560="South",13,
IF(B1560="East",22.6,
IF(B1560="West",19,
23.5))))</f>
        <v>13</v>
      </c>
      <c r="L1560" s="1">
        <f>IF(B1560="North",77.2,
IF(B1560="South",80.2,
IF(B1560="East",88.4,
IF(B1560="West",72.8,
78.9))))</f>
        <v>80.2</v>
      </c>
    </row>
    <row r="1561" spans="1:12" x14ac:dyDescent="0.25">
      <c r="A1561" s="5">
        <v>45517</v>
      </c>
      <c r="B1561" s="1" t="s">
        <v>11</v>
      </c>
      <c r="C1561" s="1" t="s">
        <v>19</v>
      </c>
      <c r="D1561" s="1" t="s">
        <v>30</v>
      </c>
      <c r="E1561" s="10">
        <v>4</v>
      </c>
      <c r="F1561" s="10">
        <v>1846</v>
      </c>
      <c r="G1561" s="1" t="s">
        <v>35</v>
      </c>
      <c r="H1561" s="10">
        <f t="shared" si="50"/>
        <v>7384</v>
      </c>
      <c r="I1561" s="7">
        <v>6000.8811116954603</v>
      </c>
      <c r="J1561" s="7">
        <f t="shared" si="51"/>
        <v>1383.1188883045397</v>
      </c>
      <c r="K1561" s="1">
        <f>IF(B1561="North",28.6,
IF(B1561="South",13,
IF(B1561="East",22.6,
IF(B1561="West",19,
23.5))))</f>
        <v>19</v>
      </c>
      <c r="L1561" s="1">
        <f>IF(B1561="North",77.2,
IF(B1561="South",80.2,
IF(B1561="East",88.4,
IF(B1561="West",72.8,
78.9))))</f>
        <v>72.8</v>
      </c>
    </row>
    <row r="1562" spans="1:12" x14ac:dyDescent="0.25">
      <c r="A1562" s="5">
        <v>45604</v>
      </c>
      <c r="B1562" s="1" t="s">
        <v>13</v>
      </c>
      <c r="C1562" s="1" t="s">
        <v>23</v>
      </c>
      <c r="D1562" s="1" t="s">
        <v>28</v>
      </c>
      <c r="E1562" s="10">
        <v>18</v>
      </c>
      <c r="F1562" s="10">
        <v>980</v>
      </c>
      <c r="G1562" s="1" t="s">
        <v>34</v>
      </c>
      <c r="H1562" s="10">
        <f t="shared" si="50"/>
        <v>17640</v>
      </c>
      <c r="I1562" s="7">
        <v>13596.98403025723</v>
      </c>
      <c r="J1562" s="7">
        <f t="shared" si="51"/>
        <v>4043.0159697427698</v>
      </c>
      <c r="K1562" s="1">
        <f>IF(B1562="North",28.6,
IF(B1562="South",13,
IF(B1562="East",22.6,
IF(B1562="West",19,
23.5))))</f>
        <v>13</v>
      </c>
      <c r="L1562" s="1">
        <f>IF(B1562="North",77.2,
IF(B1562="South",80.2,
IF(B1562="East",88.4,
IF(B1562="West",72.8,
78.9))))</f>
        <v>80.2</v>
      </c>
    </row>
    <row r="1563" spans="1:12" x14ac:dyDescent="0.25">
      <c r="A1563" s="5">
        <v>45509</v>
      </c>
      <c r="B1563" s="1" t="s">
        <v>11</v>
      </c>
      <c r="C1563" s="1" t="s">
        <v>22</v>
      </c>
      <c r="D1563" s="1" t="s">
        <v>31</v>
      </c>
      <c r="E1563" s="10">
        <v>18</v>
      </c>
      <c r="F1563" s="10">
        <v>1200</v>
      </c>
      <c r="G1563" s="1" t="s">
        <v>35</v>
      </c>
      <c r="H1563" s="10">
        <f t="shared" si="50"/>
        <v>21600</v>
      </c>
      <c r="I1563" s="7">
        <v>18159.570025558482</v>
      </c>
      <c r="J1563" s="7">
        <f t="shared" si="51"/>
        <v>3440.4299744415184</v>
      </c>
      <c r="K1563" s="1">
        <f>IF(B1563="North",28.6,
IF(B1563="South",13,
IF(B1563="East",22.6,
IF(B1563="West",19,
23.5))))</f>
        <v>19</v>
      </c>
      <c r="L1563" s="1">
        <f>IF(B1563="North",77.2,
IF(B1563="South",80.2,
IF(B1563="East",88.4,
IF(B1563="West",72.8,
78.9))))</f>
        <v>72.8</v>
      </c>
    </row>
    <row r="1564" spans="1:12" x14ac:dyDescent="0.25">
      <c r="A1564" s="5">
        <v>45532</v>
      </c>
      <c r="B1564" s="1" t="s">
        <v>11</v>
      </c>
      <c r="C1564" s="1" t="s">
        <v>17</v>
      </c>
      <c r="D1564" s="1" t="s">
        <v>28</v>
      </c>
      <c r="E1564" s="10">
        <v>16</v>
      </c>
      <c r="F1564" s="10">
        <v>1200</v>
      </c>
      <c r="G1564" s="1" t="s">
        <v>33</v>
      </c>
      <c r="H1564" s="10">
        <f t="shared" si="50"/>
        <v>19200</v>
      </c>
      <c r="I1564" s="7">
        <v>15145.128367891881</v>
      </c>
      <c r="J1564" s="7">
        <f t="shared" si="51"/>
        <v>4054.8716321081192</v>
      </c>
      <c r="K1564" s="1">
        <f>IF(B1564="North",28.6,
IF(B1564="South",13,
IF(B1564="East",22.6,
IF(B1564="West",19,
23.5))))</f>
        <v>19</v>
      </c>
      <c r="L1564" s="1">
        <f>IF(B1564="North",77.2,
IF(B1564="South",80.2,
IF(B1564="East",88.4,
IF(B1564="West",72.8,
78.9))))</f>
        <v>72.8</v>
      </c>
    </row>
    <row r="1565" spans="1:12" x14ac:dyDescent="0.25">
      <c r="A1565" s="5">
        <v>45550</v>
      </c>
      <c r="B1565" s="1" t="s">
        <v>10</v>
      </c>
      <c r="C1565" s="1" t="s">
        <v>17</v>
      </c>
      <c r="D1565" s="1" t="s">
        <v>26</v>
      </c>
      <c r="E1565" s="10">
        <v>9</v>
      </c>
      <c r="F1565" s="10">
        <v>1565</v>
      </c>
      <c r="G1565" s="1" t="s">
        <v>33</v>
      </c>
      <c r="H1565" s="10">
        <f t="shared" si="50"/>
        <v>14085</v>
      </c>
      <c r="I1565" s="7">
        <v>11780.568364933621</v>
      </c>
      <c r="J1565" s="7">
        <f t="shared" si="51"/>
        <v>2304.4316350663794</v>
      </c>
      <c r="K1565" s="1">
        <f>IF(B1565="North",28.6,
IF(B1565="South",13,
IF(B1565="East",22.6,
IF(B1565="West",19,
23.5))))</f>
        <v>28.6</v>
      </c>
      <c r="L1565" s="1">
        <f>IF(B1565="North",77.2,
IF(B1565="South",80.2,
IF(B1565="East",88.4,
IF(B1565="West",72.8,
78.9))))</f>
        <v>77.2</v>
      </c>
    </row>
    <row r="1566" spans="1:12" x14ac:dyDescent="0.25">
      <c r="A1566" s="5">
        <v>45553</v>
      </c>
      <c r="B1566" s="1" t="s">
        <v>12</v>
      </c>
      <c r="C1566" s="1" t="s">
        <v>23</v>
      </c>
      <c r="D1566" s="1" t="s">
        <v>28</v>
      </c>
      <c r="E1566" s="10">
        <v>18</v>
      </c>
      <c r="F1566" s="10">
        <v>639</v>
      </c>
      <c r="G1566" s="1" t="s">
        <v>34</v>
      </c>
      <c r="H1566" s="10">
        <f t="shared" si="50"/>
        <v>11502</v>
      </c>
      <c r="I1566" s="7">
        <v>9305.5169131622679</v>
      </c>
      <c r="J1566" s="7">
        <f t="shared" si="51"/>
        <v>2196.4830868377321</v>
      </c>
      <c r="K1566" s="1">
        <f>IF(B1566="North",28.6,
IF(B1566="South",13,
IF(B1566="East",22.6,
IF(B1566="West",19,
23.5))))</f>
        <v>22.6</v>
      </c>
      <c r="L1566" s="1">
        <f>IF(B1566="North",77.2,
IF(B1566="South",80.2,
IF(B1566="East",88.4,
IF(B1566="West",72.8,
78.9))))</f>
        <v>88.4</v>
      </c>
    </row>
    <row r="1567" spans="1:12" x14ac:dyDescent="0.25">
      <c r="A1567" s="5">
        <v>45296</v>
      </c>
      <c r="B1567" s="1" t="s">
        <v>10</v>
      </c>
      <c r="C1567" s="1" t="s">
        <v>19</v>
      </c>
      <c r="D1567" s="1" t="s">
        <v>31</v>
      </c>
      <c r="E1567" s="10">
        <v>2</v>
      </c>
      <c r="F1567" s="10">
        <v>344</v>
      </c>
      <c r="G1567" s="1" t="s">
        <v>35</v>
      </c>
      <c r="H1567" s="10">
        <f t="shared" si="50"/>
        <v>688</v>
      </c>
      <c r="I1567" s="7">
        <v>452.6605542304352</v>
      </c>
      <c r="J1567" s="7">
        <f t="shared" si="51"/>
        <v>235.3394457695648</v>
      </c>
      <c r="K1567" s="1">
        <f>IF(B1567="North",28.6,
IF(B1567="South",13,
IF(B1567="East",22.6,
IF(B1567="West",19,
23.5))))</f>
        <v>28.6</v>
      </c>
      <c r="L1567" s="1">
        <f>IF(B1567="North",77.2,
IF(B1567="South",80.2,
IF(B1567="East",88.4,
IF(B1567="West",72.8,
78.9))))</f>
        <v>77.2</v>
      </c>
    </row>
    <row r="1568" spans="1:12" x14ac:dyDescent="0.25">
      <c r="A1568" s="5">
        <v>45552</v>
      </c>
      <c r="B1568" s="1" t="s">
        <v>12</v>
      </c>
      <c r="C1568" s="1" t="s">
        <v>20</v>
      </c>
      <c r="D1568" s="1" t="s">
        <v>31</v>
      </c>
      <c r="E1568" s="10">
        <v>4</v>
      </c>
      <c r="F1568" s="10">
        <v>677</v>
      </c>
      <c r="G1568" s="1" t="s">
        <v>33</v>
      </c>
      <c r="H1568" s="10">
        <f t="shared" si="50"/>
        <v>2708</v>
      </c>
      <c r="I1568" s="7">
        <v>1667.332755330943</v>
      </c>
      <c r="J1568" s="7">
        <f t="shared" si="51"/>
        <v>1040.667244669057</v>
      </c>
      <c r="K1568" s="1">
        <f>IF(B1568="North",28.6,
IF(B1568="South",13,
IF(B1568="East",22.6,
IF(B1568="West",19,
23.5))))</f>
        <v>22.6</v>
      </c>
      <c r="L1568" s="1">
        <f>IF(B1568="North",77.2,
IF(B1568="South",80.2,
IF(B1568="East",88.4,
IF(B1568="West",72.8,
78.9))))</f>
        <v>88.4</v>
      </c>
    </row>
    <row r="1569" spans="1:12" x14ac:dyDescent="0.25">
      <c r="A1569" s="5">
        <v>45345</v>
      </c>
      <c r="B1569" s="1" t="s">
        <v>11</v>
      </c>
      <c r="C1569" s="1" t="s">
        <v>18</v>
      </c>
      <c r="D1569" s="1" t="s">
        <v>31</v>
      </c>
      <c r="E1569" s="10">
        <v>10</v>
      </c>
      <c r="F1569" s="10">
        <v>1901</v>
      </c>
      <c r="G1569" s="1" t="s">
        <v>34</v>
      </c>
      <c r="H1569" s="10">
        <f t="shared" si="50"/>
        <v>19010</v>
      </c>
      <c r="I1569" s="7">
        <f>H1569*0.7</f>
        <v>13307</v>
      </c>
      <c r="J1569" s="7">
        <f t="shared" si="51"/>
        <v>5703</v>
      </c>
      <c r="K1569" s="1">
        <f>IF(B1569="North",28.6,
IF(B1569="South",13,
IF(B1569="East",22.6,
IF(B1569="West",19,
23.5))))</f>
        <v>19</v>
      </c>
      <c r="L1569" s="1">
        <f>IF(B1569="North",77.2,
IF(B1569="South",80.2,
IF(B1569="East",88.4,
IF(B1569="West",72.8,
78.9))))</f>
        <v>72.8</v>
      </c>
    </row>
    <row r="1570" spans="1:12" x14ac:dyDescent="0.25">
      <c r="A1570" s="5">
        <v>45338</v>
      </c>
      <c r="B1570" s="1" t="s">
        <v>10</v>
      </c>
      <c r="C1570" s="1" t="s">
        <v>22</v>
      </c>
      <c r="D1570" s="1" t="s">
        <v>26</v>
      </c>
      <c r="E1570" s="10">
        <v>7</v>
      </c>
      <c r="F1570" s="10">
        <v>1505</v>
      </c>
      <c r="G1570" s="1" t="s">
        <v>35</v>
      </c>
      <c r="H1570" s="10">
        <f t="shared" si="50"/>
        <v>10535</v>
      </c>
      <c r="I1570" s="7">
        <v>9309.7463106900777</v>
      </c>
      <c r="J1570" s="7">
        <f t="shared" si="51"/>
        <v>1225.2536893099223</v>
      </c>
      <c r="K1570" s="1">
        <f>IF(B1570="North",28.6,
IF(B1570="South",13,
IF(B1570="East",22.6,
IF(B1570="West",19,
23.5))))</f>
        <v>28.6</v>
      </c>
      <c r="L1570" s="1">
        <f>IF(B1570="North",77.2,
IF(B1570="South",80.2,
IF(B1570="East",88.4,
IF(B1570="West",72.8,
78.9))))</f>
        <v>77.2</v>
      </c>
    </row>
    <row r="1571" spans="1:12" x14ac:dyDescent="0.25">
      <c r="A1571" s="5">
        <v>45506</v>
      </c>
      <c r="B1571" s="1" t="s">
        <v>12</v>
      </c>
      <c r="C1571" s="1" t="s">
        <v>17</v>
      </c>
      <c r="D1571" s="1" t="s">
        <v>31</v>
      </c>
      <c r="E1571" s="10">
        <v>15</v>
      </c>
      <c r="F1571" s="10">
        <v>1081</v>
      </c>
      <c r="G1571" s="1" t="s">
        <v>33</v>
      </c>
      <c r="H1571" s="10">
        <f t="shared" si="50"/>
        <v>16215</v>
      </c>
      <c r="I1571" s="7">
        <v>13265.162156963799</v>
      </c>
      <c r="J1571" s="7">
        <f t="shared" si="51"/>
        <v>2949.8378430362009</v>
      </c>
      <c r="K1571" s="1">
        <f>IF(B1571="North",28.6,
IF(B1571="South",13,
IF(B1571="East",22.6,
IF(B1571="West",19,
23.5))))</f>
        <v>22.6</v>
      </c>
      <c r="L1571" s="1">
        <f>IF(B1571="North",77.2,
IF(B1571="South",80.2,
IF(B1571="East",88.4,
IF(B1571="West",72.8,
78.9))))</f>
        <v>88.4</v>
      </c>
    </row>
    <row r="1572" spans="1:12" x14ac:dyDescent="0.25">
      <c r="A1572" s="5">
        <v>45468</v>
      </c>
      <c r="B1572" s="1" t="s">
        <v>13</v>
      </c>
      <c r="C1572" s="1" t="s">
        <v>23</v>
      </c>
      <c r="D1572" s="1" t="s">
        <v>30</v>
      </c>
      <c r="E1572" s="10">
        <v>7</v>
      </c>
      <c r="F1572" s="10">
        <v>816</v>
      </c>
      <c r="G1572" s="1" t="s">
        <v>34</v>
      </c>
      <c r="H1572" s="10">
        <f t="shared" si="50"/>
        <v>5712</v>
      </c>
      <c r="I1572" s="7">
        <v>4668.1990977717787</v>
      </c>
      <c r="J1572" s="7">
        <f t="shared" si="51"/>
        <v>1043.8009022282213</v>
      </c>
      <c r="K1572" s="1">
        <f>IF(B1572="North",28.6,
IF(B1572="South",13,
IF(B1572="East",22.6,
IF(B1572="West",19,
23.5))))</f>
        <v>13</v>
      </c>
      <c r="L1572" s="1">
        <f>IF(B1572="North",77.2,
IF(B1572="South",80.2,
IF(B1572="East",88.4,
IF(B1572="West",72.8,
78.9))))</f>
        <v>80.2</v>
      </c>
    </row>
    <row r="1573" spans="1:12" x14ac:dyDescent="0.25">
      <c r="A1573" s="5">
        <v>45300</v>
      </c>
      <c r="B1573" s="1" t="s">
        <v>12</v>
      </c>
      <c r="C1573" s="1" t="s">
        <v>21</v>
      </c>
      <c r="D1573" s="1" t="s">
        <v>29</v>
      </c>
      <c r="E1573" s="10">
        <v>17</v>
      </c>
      <c r="F1573" s="10">
        <v>1693</v>
      </c>
      <c r="G1573" s="1" t="s">
        <v>35</v>
      </c>
      <c r="H1573" s="10">
        <f t="shared" si="50"/>
        <v>28781</v>
      </c>
      <c r="I1573" s="7">
        <v>19601.130937110291</v>
      </c>
      <c r="J1573" s="7">
        <f t="shared" si="51"/>
        <v>9179.8690628897093</v>
      </c>
      <c r="K1573" s="1">
        <f>IF(B1573="North",28.6,
IF(B1573="South",13,
IF(B1573="East",22.6,
IF(B1573="West",19,
23.5))))</f>
        <v>22.6</v>
      </c>
      <c r="L1573" s="1">
        <f>IF(B1573="North",77.2,
IF(B1573="South",80.2,
IF(B1573="East",88.4,
IF(B1573="West",72.8,
78.9))))</f>
        <v>88.4</v>
      </c>
    </row>
    <row r="1574" spans="1:12" x14ac:dyDescent="0.25">
      <c r="A1574" s="5">
        <v>45390</v>
      </c>
      <c r="B1574" s="1" t="s">
        <v>10</v>
      </c>
      <c r="C1574" s="1" t="s">
        <v>18</v>
      </c>
      <c r="D1574" s="1" t="s">
        <v>31</v>
      </c>
      <c r="E1574" s="10">
        <v>16</v>
      </c>
      <c r="F1574" s="10">
        <v>1836</v>
      </c>
      <c r="G1574" s="1" t="s">
        <v>34</v>
      </c>
      <c r="H1574" s="10">
        <f t="shared" si="50"/>
        <v>29376</v>
      </c>
      <c r="I1574" s="7">
        <v>22406.030292033822</v>
      </c>
      <c r="J1574" s="7">
        <f t="shared" si="51"/>
        <v>6969.9697079661782</v>
      </c>
      <c r="K1574" s="1">
        <f>IF(B1574="North",28.6,
IF(B1574="South",13,
IF(B1574="East",22.6,
IF(B1574="West",19,
23.5))))</f>
        <v>28.6</v>
      </c>
      <c r="L1574" s="1">
        <f>IF(B1574="North",77.2,
IF(B1574="South",80.2,
IF(B1574="East",88.4,
IF(B1574="West",72.8,
78.9))))</f>
        <v>77.2</v>
      </c>
    </row>
    <row r="1575" spans="1:12" x14ac:dyDescent="0.25">
      <c r="A1575" s="5">
        <v>45311</v>
      </c>
      <c r="B1575" s="1" t="s">
        <v>13</v>
      </c>
      <c r="C1575" s="1" t="s">
        <v>23</v>
      </c>
      <c r="D1575" s="1" t="s">
        <v>28</v>
      </c>
      <c r="E1575" s="10">
        <v>19</v>
      </c>
      <c r="F1575" s="10">
        <v>1860</v>
      </c>
      <c r="G1575" s="1" t="s">
        <v>34</v>
      </c>
      <c r="H1575" s="10">
        <f t="shared" si="50"/>
        <v>35340</v>
      </c>
      <c r="I1575" s="7">
        <v>31723.72491459626</v>
      </c>
      <c r="J1575" s="7">
        <f t="shared" si="51"/>
        <v>3616.2750854037404</v>
      </c>
      <c r="K1575" s="1">
        <f>IF(B1575="North",28.6,
IF(B1575="South",13,
IF(B1575="East",22.6,
IF(B1575="West",19,
23.5))))</f>
        <v>13</v>
      </c>
      <c r="L1575" s="1">
        <f>IF(B1575="North",77.2,
IF(B1575="South",80.2,
IF(B1575="East",88.4,
IF(B1575="West",72.8,
78.9))))</f>
        <v>80.2</v>
      </c>
    </row>
    <row r="1576" spans="1:12" x14ac:dyDescent="0.25">
      <c r="A1576" s="5">
        <v>45532</v>
      </c>
      <c r="B1576" s="1" t="s">
        <v>12</v>
      </c>
      <c r="C1576" s="1" t="s">
        <v>40</v>
      </c>
      <c r="D1576" s="1" t="s">
        <v>32</v>
      </c>
      <c r="E1576" s="10">
        <v>9</v>
      </c>
      <c r="F1576" s="10">
        <v>241</v>
      </c>
      <c r="G1576" s="1" t="s">
        <v>34</v>
      </c>
      <c r="H1576" s="10">
        <f t="shared" si="50"/>
        <v>2169</v>
      </c>
      <c r="I1576" s="7">
        <v>1858.4926392641621</v>
      </c>
      <c r="J1576" s="7">
        <f t="shared" si="51"/>
        <v>310.50736073583789</v>
      </c>
      <c r="K1576" s="1">
        <f>IF(B1576="North",28.6,
IF(B1576="South",13,
IF(B1576="East",22.6,
IF(B1576="West",19,
23.5))))</f>
        <v>22.6</v>
      </c>
      <c r="L1576" s="1">
        <f>IF(B1576="North",77.2,
IF(B1576="South",80.2,
IF(B1576="East",88.4,
IF(B1576="West",72.8,
78.9))))</f>
        <v>88.4</v>
      </c>
    </row>
    <row r="1577" spans="1:12" x14ac:dyDescent="0.25">
      <c r="A1577" s="5">
        <v>45352</v>
      </c>
      <c r="B1577" s="1" t="s">
        <v>12</v>
      </c>
      <c r="C1577" s="1" t="s">
        <v>17</v>
      </c>
      <c r="D1577" s="1" t="s">
        <v>28</v>
      </c>
      <c r="E1577" s="10">
        <v>14</v>
      </c>
      <c r="F1577" s="10">
        <v>992</v>
      </c>
      <c r="G1577" s="1" t="s">
        <v>33</v>
      </c>
      <c r="H1577" s="10">
        <f t="shared" si="50"/>
        <v>13888</v>
      </c>
      <c r="I1577" s="7">
        <v>9601.0286304726378</v>
      </c>
      <c r="J1577" s="7">
        <f t="shared" si="51"/>
        <v>4286.9713695273622</v>
      </c>
      <c r="K1577" s="1">
        <f>IF(B1577="North",28.6,
IF(B1577="South",13,
IF(B1577="East",22.6,
IF(B1577="West",19,
23.5))))</f>
        <v>22.6</v>
      </c>
      <c r="L1577" s="1">
        <f>IF(B1577="North",77.2,
IF(B1577="South",80.2,
IF(B1577="East",88.4,
IF(B1577="West",72.8,
78.9))))</f>
        <v>88.4</v>
      </c>
    </row>
    <row r="1578" spans="1:12" x14ac:dyDescent="0.25">
      <c r="A1578" s="5">
        <v>45469</v>
      </c>
      <c r="B1578" s="1" t="s">
        <v>12</v>
      </c>
      <c r="C1578" s="1" t="s">
        <v>20</v>
      </c>
      <c r="D1578" s="1" t="s">
        <v>32</v>
      </c>
      <c r="E1578" s="10">
        <v>17</v>
      </c>
      <c r="F1578" s="10">
        <v>1491</v>
      </c>
      <c r="G1578" s="1" t="s">
        <v>33</v>
      </c>
      <c r="H1578" s="10">
        <f t="shared" si="50"/>
        <v>25347</v>
      </c>
      <c r="I1578" s="7">
        <v>17497.382867353332</v>
      </c>
      <c r="J1578" s="7">
        <f t="shared" si="51"/>
        <v>7849.6171326466683</v>
      </c>
      <c r="K1578" s="1">
        <f>IF(B1578="North",28.6,
IF(B1578="South",13,
IF(B1578="East",22.6,
IF(B1578="West",19,
23.5))))</f>
        <v>22.6</v>
      </c>
      <c r="L1578" s="1">
        <f>IF(B1578="North",77.2,
IF(B1578="South",80.2,
IF(B1578="East",88.4,
IF(B1578="West",72.8,
78.9))))</f>
        <v>88.4</v>
      </c>
    </row>
    <row r="1579" spans="1:12" x14ac:dyDescent="0.25">
      <c r="A1579" s="5">
        <v>45629</v>
      </c>
      <c r="B1579" s="1" t="s">
        <v>39</v>
      </c>
      <c r="C1579" s="1" t="s">
        <v>21</v>
      </c>
      <c r="D1579" s="1" t="s">
        <v>28</v>
      </c>
      <c r="E1579" s="10">
        <v>5</v>
      </c>
      <c r="F1579" s="10">
        <v>1207</v>
      </c>
      <c r="G1579" s="1" t="s">
        <v>35</v>
      </c>
      <c r="H1579" s="10">
        <f t="shared" si="50"/>
        <v>6035</v>
      </c>
      <c r="I1579" s="7">
        <v>4496.516685623561</v>
      </c>
      <c r="J1579" s="7">
        <f t="shared" si="51"/>
        <v>1538.483314376439</v>
      </c>
      <c r="K1579" s="1">
        <f>IF(B1579="North",28.6,
IF(B1579="South",13,
IF(B1579="East",22.6,
IF(B1579="West",19,
23.5))))</f>
        <v>19</v>
      </c>
      <c r="L1579" s="1">
        <f>IF(B1579="North",77.2,
IF(B1579="South",80.2,
IF(B1579="East",88.4,
IF(B1579="West",72.8,
78.9))))</f>
        <v>72.8</v>
      </c>
    </row>
    <row r="1580" spans="1:12" x14ac:dyDescent="0.25">
      <c r="A1580" s="5">
        <v>45353</v>
      </c>
      <c r="B1580" s="1" t="s">
        <v>12</v>
      </c>
      <c r="C1580" s="1" t="s">
        <v>19</v>
      </c>
      <c r="D1580" s="1" t="s">
        <v>26</v>
      </c>
      <c r="E1580" s="10">
        <v>2</v>
      </c>
      <c r="F1580" s="10">
        <v>1266</v>
      </c>
      <c r="G1580" s="1" t="s">
        <v>35</v>
      </c>
      <c r="H1580" s="10">
        <f t="shared" si="50"/>
        <v>2532</v>
      </c>
      <c r="I1580" s="7">
        <v>1826.5331468210491</v>
      </c>
      <c r="J1580" s="7">
        <f t="shared" si="51"/>
        <v>705.46685317895094</v>
      </c>
      <c r="K1580" s="1">
        <f>IF(B1580="North",28.6,
IF(B1580="South",13,
IF(B1580="East",22.6,
IF(B1580="West",19,
23.5))))</f>
        <v>22.6</v>
      </c>
      <c r="L1580" s="1">
        <f>IF(B1580="North",77.2,
IF(B1580="South",80.2,
IF(B1580="East",88.4,
IF(B1580="West",72.8,
78.9))))</f>
        <v>88.4</v>
      </c>
    </row>
    <row r="1581" spans="1:12" x14ac:dyDescent="0.25">
      <c r="A1581" s="5">
        <v>45436</v>
      </c>
      <c r="B1581" s="1" t="s">
        <v>15</v>
      </c>
      <c r="C1581" s="1" t="s">
        <v>22</v>
      </c>
      <c r="D1581" s="1" t="s">
        <v>28</v>
      </c>
      <c r="E1581" s="10">
        <v>16</v>
      </c>
      <c r="F1581" s="10">
        <v>451</v>
      </c>
      <c r="G1581" s="1" t="s">
        <v>35</v>
      </c>
      <c r="H1581" s="10">
        <f t="shared" si="50"/>
        <v>7216</v>
      </c>
      <c r="I1581" s="7">
        <v>5133.0721145873213</v>
      </c>
      <c r="J1581" s="7">
        <f t="shared" si="51"/>
        <v>2082.9278854126787</v>
      </c>
      <c r="K1581" s="1">
        <f>IF(B1581="North",28.6,
IF(B1581="South",13,
IF(B1581="East",22.6,
IF(B1581="West",19,
23.5))))</f>
        <v>28.6</v>
      </c>
      <c r="L1581" s="1">
        <f>IF(B1581="North",77.2,
IF(B1581="South",80.2,
IF(B1581="East",88.4,
IF(B1581="West",72.8,
78.9))))</f>
        <v>77.2</v>
      </c>
    </row>
    <row r="1582" spans="1:12" x14ac:dyDescent="0.25">
      <c r="A1582" s="5">
        <v>45507</v>
      </c>
      <c r="B1582" s="1" t="s">
        <v>11</v>
      </c>
      <c r="C1582" s="1" t="s">
        <v>19</v>
      </c>
      <c r="D1582" s="1" t="s">
        <v>26</v>
      </c>
      <c r="E1582" s="10">
        <v>14</v>
      </c>
      <c r="F1582" s="10">
        <v>644</v>
      </c>
      <c r="G1582" s="1" t="s">
        <v>35</v>
      </c>
      <c r="H1582" s="10">
        <f t="shared" si="50"/>
        <v>9016</v>
      </c>
      <c r="I1582" s="7">
        <v>7105.4336189387477</v>
      </c>
      <c r="J1582" s="7">
        <f t="shared" si="51"/>
        <v>1910.5663810612523</v>
      </c>
      <c r="K1582" s="1">
        <f>IF(B1582="North",28.6,
IF(B1582="South",13,
IF(B1582="East",22.6,
IF(B1582="West",19,
23.5))))</f>
        <v>19</v>
      </c>
      <c r="L1582" s="1">
        <f>IF(B1582="North",77.2,
IF(B1582="South",80.2,
IF(B1582="East",88.4,
IF(B1582="West",72.8,
78.9))))</f>
        <v>72.8</v>
      </c>
    </row>
    <row r="1583" spans="1:12" x14ac:dyDescent="0.25">
      <c r="A1583" s="5">
        <v>45294</v>
      </c>
      <c r="B1583" s="1" t="s">
        <v>13</v>
      </c>
      <c r="C1583" s="1" t="s">
        <v>19</v>
      </c>
      <c r="D1583" s="1" t="s">
        <v>26</v>
      </c>
      <c r="E1583" s="10">
        <v>14</v>
      </c>
      <c r="F1583" s="10">
        <v>1012</v>
      </c>
      <c r="G1583" s="1" t="s">
        <v>35</v>
      </c>
      <c r="H1583" s="10">
        <f t="shared" si="50"/>
        <v>14168</v>
      </c>
      <c r="I1583" s="7">
        <v>8549.6475929303888</v>
      </c>
      <c r="J1583" s="7">
        <f t="shared" si="51"/>
        <v>5618.3524070696112</v>
      </c>
      <c r="K1583" s="1">
        <f>IF(B1583="North",28.6,
IF(B1583="South",13,
IF(B1583="East",22.6,
IF(B1583="West",19,
23.5))))</f>
        <v>13</v>
      </c>
      <c r="L1583" s="1">
        <f>IF(B1583="North",77.2,
IF(B1583="South",80.2,
IF(B1583="East",88.4,
IF(B1583="West",72.8,
78.9))))</f>
        <v>80.2</v>
      </c>
    </row>
    <row r="1584" spans="1:12" x14ac:dyDescent="0.25">
      <c r="A1584" s="5">
        <v>45451</v>
      </c>
      <c r="B1584" s="1" t="s">
        <v>13</v>
      </c>
      <c r="C1584" s="1" t="s">
        <v>23</v>
      </c>
      <c r="D1584" s="1" t="s">
        <v>31</v>
      </c>
      <c r="E1584" s="10">
        <v>1</v>
      </c>
      <c r="F1584" s="10">
        <v>251</v>
      </c>
      <c r="G1584" s="1" t="s">
        <v>34</v>
      </c>
      <c r="H1584" s="10">
        <f t="shared" si="50"/>
        <v>251</v>
      </c>
      <c r="I1584" s="7">
        <v>208.07947459330569</v>
      </c>
      <c r="J1584" s="7">
        <f t="shared" si="51"/>
        <v>42.92052540669431</v>
      </c>
      <c r="K1584" s="1">
        <f>IF(B1584="North",28.6,
IF(B1584="South",13,
IF(B1584="East",22.6,
IF(B1584="West",19,
23.5))))</f>
        <v>13</v>
      </c>
      <c r="L1584" s="1">
        <f>IF(B1584="North",77.2,
IF(B1584="South",80.2,
IF(B1584="East",88.4,
IF(B1584="West",72.8,
78.9))))</f>
        <v>80.2</v>
      </c>
    </row>
    <row r="1585" spans="1:12" x14ac:dyDescent="0.25">
      <c r="A1585" s="5">
        <v>45518</v>
      </c>
      <c r="B1585" s="1" t="s">
        <v>13</v>
      </c>
      <c r="C1585" s="1" t="s">
        <v>18</v>
      </c>
      <c r="D1585" s="1" t="s">
        <v>30</v>
      </c>
      <c r="E1585" s="10">
        <v>3</v>
      </c>
      <c r="F1585" s="10">
        <v>1281</v>
      </c>
      <c r="G1585" s="1" t="s">
        <v>34</v>
      </c>
      <c r="H1585" s="10">
        <f t="shared" si="50"/>
        <v>3843</v>
      </c>
      <c r="I1585" s="7">
        <v>3159.0070998675128</v>
      </c>
      <c r="J1585" s="7">
        <f t="shared" si="51"/>
        <v>683.99290013248719</v>
      </c>
      <c r="K1585" s="1">
        <f>IF(B1585="North",28.6,
IF(B1585="South",13,
IF(B1585="East",22.6,
IF(B1585="West",19,
23.5))))</f>
        <v>13</v>
      </c>
      <c r="L1585" s="1">
        <f>IF(B1585="North",77.2,
IF(B1585="South",80.2,
IF(B1585="East",88.4,
IF(B1585="West",72.8,
78.9))))</f>
        <v>80.2</v>
      </c>
    </row>
    <row r="1586" spans="1:12" x14ac:dyDescent="0.25">
      <c r="A1586" s="5">
        <v>45560</v>
      </c>
      <c r="B1586" s="1" t="s">
        <v>11</v>
      </c>
      <c r="C1586" s="1" t="s">
        <v>22</v>
      </c>
      <c r="D1586" s="1" t="s">
        <v>32</v>
      </c>
      <c r="E1586" s="10">
        <v>7</v>
      </c>
      <c r="F1586" s="10">
        <v>1569</v>
      </c>
      <c r="G1586" s="1" t="s">
        <v>35</v>
      </c>
      <c r="H1586" s="10">
        <f t="shared" si="50"/>
        <v>10983</v>
      </c>
      <c r="I1586" s="7">
        <v>9325.6400849914808</v>
      </c>
      <c r="J1586" s="7">
        <f t="shared" si="51"/>
        <v>1657.3599150085192</v>
      </c>
      <c r="K1586" s="1">
        <f>IF(B1586="North",28.6,
IF(B1586="South",13,
IF(B1586="East",22.6,
IF(B1586="West",19,
23.5))))</f>
        <v>19</v>
      </c>
      <c r="L1586" s="1">
        <f>IF(B1586="North",77.2,
IF(B1586="South",80.2,
IF(B1586="East",88.4,
IF(B1586="West",72.8,
78.9))))</f>
        <v>72.8</v>
      </c>
    </row>
    <row r="1587" spans="1:12" x14ac:dyDescent="0.25">
      <c r="A1587" s="5">
        <v>45411</v>
      </c>
      <c r="B1587" s="1" t="s">
        <v>36</v>
      </c>
      <c r="C1587" s="1" t="s">
        <v>22</v>
      </c>
      <c r="D1587" s="1" t="s">
        <v>31</v>
      </c>
      <c r="E1587" s="10">
        <v>15</v>
      </c>
      <c r="F1587" s="10">
        <v>752</v>
      </c>
      <c r="G1587" s="1" t="s">
        <v>35</v>
      </c>
      <c r="H1587" s="10">
        <f t="shared" si="50"/>
        <v>11280</v>
      </c>
      <c r="I1587" s="7">
        <v>9615.4690784702561</v>
      </c>
      <c r="J1587" s="7">
        <f t="shared" si="51"/>
        <v>1664.5309215297439</v>
      </c>
      <c r="K1587" s="1">
        <f>IF(B1587="North",28.6,
IF(B1587="South",13,
IF(B1587="East",22.6,
IF(B1587="West",19,
23.5))))</f>
        <v>23.5</v>
      </c>
      <c r="L1587" s="1">
        <f>IF(B1587="North",77.2,
IF(B1587="South",80.2,
IF(B1587="East",88.4,
IF(B1587="West",72.8,
78.9))))</f>
        <v>78.900000000000006</v>
      </c>
    </row>
    <row r="1588" spans="1:12" x14ac:dyDescent="0.25">
      <c r="A1588" s="5">
        <v>45380</v>
      </c>
      <c r="B1588" s="1" t="s">
        <v>11</v>
      </c>
      <c r="C1588" s="1" t="s">
        <v>17</v>
      </c>
      <c r="D1588" s="1" t="s">
        <v>31</v>
      </c>
      <c r="E1588" s="10">
        <v>19</v>
      </c>
      <c r="F1588" s="10">
        <v>1057</v>
      </c>
      <c r="G1588" s="1" t="s">
        <v>33</v>
      </c>
      <c r="H1588" s="10">
        <f t="shared" si="50"/>
        <v>20083</v>
      </c>
      <c r="I1588" s="7">
        <v>15462.30152096235</v>
      </c>
      <c r="J1588" s="7">
        <f t="shared" si="51"/>
        <v>4620.69847903765</v>
      </c>
      <c r="K1588" s="1">
        <f>IF(B1588="North",28.6,
IF(B1588="South",13,
IF(B1588="East",22.6,
IF(B1588="West",19,
23.5))))</f>
        <v>19</v>
      </c>
      <c r="L1588" s="1">
        <f>IF(B1588="North",77.2,
IF(B1588="South",80.2,
IF(B1588="East",88.4,
IF(B1588="West",72.8,
78.9))))</f>
        <v>72.8</v>
      </c>
    </row>
    <row r="1589" spans="1:12" x14ac:dyDescent="0.25">
      <c r="A1589" s="5">
        <v>45620</v>
      </c>
      <c r="B1589" s="1" t="s">
        <v>13</v>
      </c>
      <c r="C1589" s="1" t="s">
        <v>17</v>
      </c>
      <c r="D1589" s="1" t="s">
        <v>29</v>
      </c>
      <c r="E1589" s="10">
        <v>2</v>
      </c>
      <c r="F1589" s="10">
        <v>862</v>
      </c>
      <c r="G1589" s="1" t="s">
        <v>33</v>
      </c>
      <c r="H1589" s="10">
        <f t="shared" si="50"/>
        <v>1724</v>
      </c>
      <c r="I1589" s="7">
        <v>1437.854239504366</v>
      </c>
      <c r="J1589" s="7">
        <f t="shared" si="51"/>
        <v>286.14576049563402</v>
      </c>
      <c r="K1589" s="1">
        <f>IF(B1589="North",28.6,
IF(B1589="South",13,
IF(B1589="East",22.6,
IF(B1589="West",19,
23.5))))</f>
        <v>13</v>
      </c>
      <c r="L1589" s="1">
        <f>IF(B1589="North",77.2,
IF(B1589="South",80.2,
IF(B1589="East",88.4,
IF(B1589="West",72.8,
78.9))))</f>
        <v>80.2</v>
      </c>
    </row>
    <row r="1590" spans="1:12" x14ac:dyDescent="0.25">
      <c r="A1590" s="5">
        <v>45359</v>
      </c>
      <c r="B1590" s="1" t="s">
        <v>12</v>
      </c>
      <c r="C1590" s="1" t="s">
        <v>22</v>
      </c>
      <c r="D1590" s="1" t="s">
        <v>26</v>
      </c>
      <c r="E1590" s="10">
        <v>19</v>
      </c>
      <c r="F1590" s="10">
        <v>1426</v>
      </c>
      <c r="G1590" s="1" t="s">
        <v>35</v>
      </c>
      <c r="H1590" s="10">
        <f t="shared" si="50"/>
        <v>27094</v>
      </c>
      <c r="I1590" s="7">
        <v>20258.686058930751</v>
      </c>
      <c r="J1590" s="7">
        <f t="shared" si="51"/>
        <v>6835.3139410692493</v>
      </c>
      <c r="K1590" s="1">
        <f>IF(B1590="North",28.6,
IF(B1590="South",13,
IF(B1590="East",22.6,
IF(B1590="West",19,
23.5))))</f>
        <v>22.6</v>
      </c>
      <c r="L1590" s="1">
        <f>IF(B1590="North",77.2,
IF(B1590="South",80.2,
IF(B1590="East",88.4,
IF(B1590="West",72.8,
78.9))))</f>
        <v>88.4</v>
      </c>
    </row>
    <row r="1591" spans="1:12" x14ac:dyDescent="0.25">
      <c r="A1591" s="5">
        <v>45648</v>
      </c>
      <c r="B1591" s="1" t="s">
        <v>12</v>
      </c>
      <c r="C1591" s="1" t="s">
        <v>21</v>
      </c>
      <c r="D1591" s="1" t="s">
        <v>26</v>
      </c>
      <c r="E1591" s="10">
        <v>9</v>
      </c>
      <c r="F1591" s="10">
        <v>723</v>
      </c>
      <c r="G1591" s="1" t="s">
        <v>35</v>
      </c>
      <c r="H1591" s="10">
        <f t="shared" si="50"/>
        <v>6507</v>
      </c>
      <c r="I1591" s="7">
        <v>5761.6813936721646</v>
      </c>
      <c r="J1591" s="7">
        <f t="shared" si="51"/>
        <v>745.31860632783537</v>
      </c>
      <c r="K1591" s="1">
        <f>IF(B1591="North",28.6,
IF(B1591="South",13,
IF(B1591="East",22.6,
IF(B1591="West",19,
23.5))))</f>
        <v>22.6</v>
      </c>
      <c r="L1591" s="1">
        <f>IF(B1591="North",77.2,
IF(B1591="South",80.2,
IF(B1591="East",88.4,
IF(B1591="West",72.8,
78.9))))</f>
        <v>88.4</v>
      </c>
    </row>
    <row r="1592" spans="1:12" x14ac:dyDescent="0.25">
      <c r="A1592" s="5">
        <v>45389</v>
      </c>
      <c r="B1592" s="1" t="s">
        <v>13</v>
      </c>
      <c r="C1592" s="1" t="s">
        <v>24</v>
      </c>
      <c r="D1592" s="1" t="s">
        <v>32</v>
      </c>
      <c r="E1592" s="10">
        <v>19</v>
      </c>
      <c r="F1592" s="10">
        <v>755</v>
      </c>
      <c r="G1592" s="1" t="s">
        <v>35</v>
      </c>
      <c r="H1592" s="10">
        <f t="shared" si="50"/>
        <v>14345</v>
      </c>
      <c r="I1592" s="7">
        <v>9427.6711229402263</v>
      </c>
      <c r="J1592" s="7">
        <f t="shared" si="51"/>
        <v>4917.3288770597737</v>
      </c>
      <c r="K1592" s="1">
        <f>IF(B1592="North",28.6,
IF(B1592="South",13,
IF(B1592="East",22.6,
IF(B1592="West",19,
23.5))))</f>
        <v>13</v>
      </c>
      <c r="L1592" s="1">
        <f>IF(B1592="North",77.2,
IF(B1592="South",80.2,
IF(B1592="East",88.4,
IF(B1592="West",72.8,
78.9))))</f>
        <v>80.2</v>
      </c>
    </row>
    <row r="1593" spans="1:12" x14ac:dyDescent="0.25">
      <c r="A1593" s="5">
        <v>45558</v>
      </c>
      <c r="B1593" s="1" t="s">
        <v>12</v>
      </c>
      <c r="C1593" s="1" t="s">
        <v>17</v>
      </c>
      <c r="D1593" s="1" t="s">
        <v>28</v>
      </c>
      <c r="E1593" s="10">
        <v>5</v>
      </c>
      <c r="F1593" s="10">
        <v>549</v>
      </c>
      <c r="G1593" s="1" t="s">
        <v>33</v>
      </c>
      <c r="H1593" s="10">
        <f t="shared" si="50"/>
        <v>2745</v>
      </c>
      <c r="I1593" s="7">
        <v>2401.010675322857</v>
      </c>
      <c r="J1593" s="7">
        <f t="shared" si="51"/>
        <v>343.98932467714303</v>
      </c>
      <c r="K1593" s="1">
        <f>IF(B1593="North",28.6,
IF(B1593="South",13,
IF(B1593="East",22.6,
IF(B1593="West",19,
23.5))))</f>
        <v>22.6</v>
      </c>
      <c r="L1593" s="1">
        <f>IF(B1593="North",77.2,
IF(B1593="South",80.2,
IF(B1593="East",88.4,
IF(B1593="West",72.8,
78.9))))</f>
        <v>88.4</v>
      </c>
    </row>
    <row r="1594" spans="1:12" x14ac:dyDescent="0.25">
      <c r="A1594" s="5">
        <v>45396</v>
      </c>
      <c r="B1594" s="1" t="s">
        <v>13</v>
      </c>
      <c r="C1594" s="1" t="s">
        <v>24</v>
      </c>
      <c r="D1594" s="1" t="s">
        <v>28</v>
      </c>
      <c r="E1594" s="10">
        <v>18</v>
      </c>
      <c r="F1594" s="10">
        <v>820</v>
      </c>
      <c r="G1594" s="1" t="s">
        <v>35</v>
      </c>
      <c r="H1594" s="10">
        <f t="shared" si="50"/>
        <v>14760</v>
      </c>
      <c r="I1594" s="7">
        <v>10000.772439693479</v>
      </c>
      <c r="J1594" s="7">
        <f t="shared" si="51"/>
        <v>4759.2275603065209</v>
      </c>
      <c r="K1594" s="1">
        <f>IF(B1594="North",28.6,
IF(B1594="South",13,
IF(B1594="East",22.6,
IF(B1594="West",19,
23.5))))</f>
        <v>13</v>
      </c>
      <c r="L1594" s="1">
        <f>IF(B1594="North",77.2,
IF(B1594="South",80.2,
IF(B1594="East",88.4,
IF(B1594="West",72.8,
78.9))))</f>
        <v>80.2</v>
      </c>
    </row>
    <row r="1595" spans="1:12" x14ac:dyDescent="0.25">
      <c r="A1595" s="5">
        <v>45614</v>
      </c>
      <c r="B1595" s="1" t="s">
        <v>12</v>
      </c>
      <c r="C1595" s="1" t="s">
        <v>23</v>
      </c>
      <c r="D1595" s="1" t="s">
        <v>25</v>
      </c>
      <c r="E1595" s="10">
        <v>16</v>
      </c>
      <c r="F1595" s="10">
        <v>1347</v>
      </c>
      <c r="G1595" s="1" t="s">
        <v>34</v>
      </c>
      <c r="H1595" s="10">
        <f t="shared" si="50"/>
        <v>21552</v>
      </c>
      <c r="I1595" s="7">
        <v>13595.36824490971</v>
      </c>
      <c r="J1595" s="7">
        <f t="shared" si="51"/>
        <v>7956.6317550902895</v>
      </c>
      <c r="K1595" s="1">
        <f>IF(B1595="North",28.6,
IF(B1595="South",13,
IF(B1595="East",22.6,
IF(B1595="West",19,
23.5))))</f>
        <v>22.6</v>
      </c>
      <c r="L1595" s="1">
        <f>IF(B1595="North",77.2,
IF(B1595="South",80.2,
IF(B1595="East",88.4,
IF(B1595="West",72.8,
78.9))))</f>
        <v>88.4</v>
      </c>
    </row>
    <row r="1596" spans="1:12" x14ac:dyDescent="0.25">
      <c r="A1596" s="5">
        <v>45414</v>
      </c>
      <c r="B1596" s="1" t="s">
        <v>36</v>
      </c>
      <c r="C1596" s="1" t="s">
        <v>21</v>
      </c>
      <c r="D1596" s="1" t="s">
        <v>31</v>
      </c>
      <c r="E1596" s="10">
        <v>4</v>
      </c>
      <c r="F1596" s="10">
        <v>142</v>
      </c>
      <c r="G1596" s="1" t="s">
        <v>35</v>
      </c>
      <c r="H1596" s="10">
        <f t="shared" si="50"/>
        <v>568</v>
      </c>
      <c r="I1596" s="7">
        <v>415.62339783814718</v>
      </c>
      <c r="J1596" s="7">
        <f t="shared" si="51"/>
        <v>152.37660216185282</v>
      </c>
      <c r="K1596" s="1">
        <f>IF(B1596="North",28.6,
IF(B1596="South",13,
IF(B1596="East",22.6,
IF(B1596="West",19,
23.5))))</f>
        <v>23.5</v>
      </c>
      <c r="L1596" s="1">
        <f>IF(B1596="North",77.2,
IF(B1596="South",80.2,
IF(B1596="East",88.4,
IF(B1596="West",72.8,
78.9))))</f>
        <v>78.900000000000006</v>
      </c>
    </row>
    <row r="1597" spans="1:12" x14ac:dyDescent="0.25">
      <c r="A1597" s="5">
        <v>45320</v>
      </c>
      <c r="B1597" s="1" t="s">
        <v>10</v>
      </c>
      <c r="C1597" s="1" t="s">
        <v>22</v>
      </c>
      <c r="D1597" s="1" t="s">
        <v>25</v>
      </c>
      <c r="E1597" s="10">
        <v>12</v>
      </c>
      <c r="F1597" s="10">
        <v>363</v>
      </c>
      <c r="G1597" s="1" t="s">
        <v>35</v>
      </c>
      <c r="H1597" s="10">
        <f t="shared" si="50"/>
        <v>4356</v>
      </c>
      <c r="I1597" s="7">
        <v>3417.1738523893059</v>
      </c>
      <c r="J1597" s="7">
        <f t="shared" si="51"/>
        <v>938.82614761069408</v>
      </c>
      <c r="K1597" s="1">
        <f>IF(B1597="North",28.6,
IF(B1597="South",13,
IF(B1597="East",22.6,
IF(B1597="West",19,
23.5))))</f>
        <v>28.6</v>
      </c>
      <c r="L1597" s="1">
        <f>IF(B1597="North",77.2,
IF(B1597="South",80.2,
IF(B1597="East",88.4,
IF(B1597="West",72.8,
78.9))))</f>
        <v>77.2</v>
      </c>
    </row>
    <row r="1598" spans="1:12" x14ac:dyDescent="0.25">
      <c r="A1598" s="5">
        <v>45428</v>
      </c>
      <c r="B1598" s="1" t="s">
        <v>10</v>
      </c>
      <c r="C1598" s="1" t="s">
        <v>21</v>
      </c>
      <c r="D1598" s="1" t="s">
        <v>27</v>
      </c>
      <c r="E1598" s="10">
        <v>7</v>
      </c>
      <c r="F1598" s="10">
        <v>1879</v>
      </c>
      <c r="G1598" s="1" t="s">
        <v>35</v>
      </c>
      <c r="H1598" s="10">
        <f t="shared" si="50"/>
        <v>13153</v>
      </c>
      <c r="I1598" s="7">
        <v>8803.2629406596916</v>
      </c>
      <c r="J1598" s="7">
        <f t="shared" si="51"/>
        <v>4349.7370593403084</v>
      </c>
      <c r="K1598" s="1">
        <f>IF(B1598="North",28.6,
IF(B1598="South",13,
IF(B1598="East",22.6,
IF(B1598="West",19,
23.5))))</f>
        <v>28.6</v>
      </c>
      <c r="L1598" s="1">
        <f>IF(B1598="North",77.2,
IF(B1598="South",80.2,
IF(B1598="East",88.4,
IF(B1598="West",72.8,
78.9))))</f>
        <v>77.2</v>
      </c>
    </row>
    <row r="1599" spans="1:12" x14ac:dyDescent="0.25">
      <c r="A1599" s="5">
        <v>45486</v>
      </c>
      <c r="B1599" s="1" t="s">
        <v>11</v>
      </c>
      <c r="C1599" s="1" t="s">
        <v>17</v>
      </c>
      <c r="D1599" s="1" t="s">
        <v>27</v>
      </c>
      <c r="E1599" s="10">
        <v>14</v>
      </c>
      <c r="F1599" s="10">
        <v>1126</v>
      </c>
      <c r="G1599" s="1" t="s">
        <v>33</v>
      </c>
      <c r="H1599" s="10">
        <f t="shared" si="50"/>
        <v>15764</v>
      </c>
      <c r="I1599" s="7">
        <v>12086.87158361961</v>
      </c>
      <c r="J1599" s="7">
        <f t="shared" si="51"/>
        <v>3677.1284163803903</v>
      </c>
      <c r="K1599" s="1">
        <f>IF(B1599="North",28.6,
IF(B1599="South",13,
IF(B1599="East",22.6,
IF(B1599="West",19,
23.5))))</f>
        <v>19</v>
      </c>
      <c r="L1599" s="1">
        <f>IF(B1599="North",77.2,
IF(B1599="South",80.2,
IF(B1599="East",88.4,
IF(B1599="West",72.8,
78.9))))</f>
        <v>72.8</v>
      </c>
    </row>
    <row r="1600" spans="1:12" x14ac:dyDescent="0.25">
      <c r="A1600" s="5">
        <v>45517</v>
      </c>
      <c r="B1600" s="1" t="s">
        <v>11</v>
      </c>
      <c r="C1600" s="1" t="s">
        <v>19</v>
      </c>
      <c r="D1600" s="1" t="s">
        <v>25</v>
      </c>
      <c r="E1600" s="10">
        <v>12</v>
      </c>
      <c r="F1600" s="10">
        <v>1760</v>
      </c>
      <c r="G1600" s="1" t="s">
        <v>35</v>
      </c>
      <c r="H1600" s="10">
        <f t="shared" si="50"/>
        <v>21120</v>
      </c>
      <c r="I1600" s="7">
        <v>17790.812309537021</v>
      </c>
      <c r="J1600" s="7">
        <f t="shared" si="51"/>
        <v>3329.1876904629789</v>
      </c>
      <c r="K1600" s="1">
        <f>IF(B1600="North",28.6,
IF(B1600="South",13,
IF(B1600="East",22.6,
IF(B1600="West",19,
23.5))))</f>
        <v>19</v>
      </c>
      <c r="L1600" s="1">
        <f>IF(B1600="North",77.2,
IF(B1600="South",80.2,
IF(B1600="East",88.4,
IF(B1600="West",72.8,
78.9))))</f>
        <v>72.8</v>
      </c>
    </row>
    <row r="1601" spans="1:12" x14ac:dyDescent="0.25">
      <c r="A1601" s="5">
        <v>45623</v>
      </c>
      <c r="B1601" s="1" t="s">
        <v>13</v>
      </c>
      <c r="C1601" s="1" t="s">
        <v>23</v>
      </c>
      <c r="D1601" s="1" t="s">
        <v>28</v>
      </c>
      <c r="E1601" s="10">
        <v>3</v>
      </c>
      <c r="F1601" s="10">
        <v>1391</v>
      </c>
      <c r="G1601" s="1" t="s">
        <v>34</v>
      </c>
      <c r="H1601" s="10">
        <f t="shared" si="50"/>
        <v>4173</v>
      </c>
      <c r="I1601" s="7">
        <v>2825.6446686896811</v>
      </c>
      <c r="J1601" s="7">
        <f t="shared" si="51"/>
        <v>1347.3553313103189</v>
      </c>
      <c r="K1601" s="1">
        <f>IF(B1601="North",28.6,
IF(B1601="South",13,
IF(B1601="East",22.6,
IF(B1601="West",19,
23.5))))</f>
        <v>13</v>
      </c>
      <c r="L1601" s="1">
        <f>IF(B1601="North",77.2,
IF(B1601="South",80.2,
IF(B1601="East",88.4,
IF(B1601="West",72.8,
78.9))))</f>
        <v>80.2</v>
      </c>
    </row>
    <row r="1602" spans="1:12" x14ac:dyDescent="0.25">
      <c r="A1602" s="5">
        <v>45461</v>
      </c>
      <c r="B1602" s="1" t="s">
        <v>13</v>
      </c>
      <c r="C1602" s="1" t="s">
        <v>22</v>
      </c>
      <c r="D1602" s="1" t="s">
        <v>27</v>
      </c>
      <c r="E1602" s="10">
        <v>5</v>
      </c>
      <c r="F1602" s="10">
        <v>695</v>
      </c>
      <c r="G1602" s="1" t="s">
        <v>35</v>
      </c>
      <c r="H1602" s="10">
        <f t="shared" si="50"/>
        <v>3475</v>
      </c>
      <c r="I1602" s="7">
        <v>2689.9859413655572</v>
      </c>
      <c r="J1602" s="7">
        <f t="shared" si="51"/>
        <v>785.01405863444279</v>
      </c>
      <c r="K1602" s="1">
        <f>IF(B1602="North",28.6,
IF(B1602="South",13,
IF(B1602="East",22.6,
IF(B1602="West",19,
23.5))))</f>
        <v>13</v>
      </c>
      <c r="L1602" s="1">
        <f>IF(B1602="North",77.2,
IF(B1602="South",80.2,
IF(B1602="East",88.4,
IF(B1602="West",72.8,
78.9))))</f>
        <v>80.2</v>
      </c>
    </row>
    <row r="1603" spans="1:12" x14ac:dyDescent="0.25">
      <c r="A1603" s="5">
        <v>45300</v>
      </c>
      <c r="B1603" s="1" t="s">
        <v>13</v>
      </c>
      <c r="C1603" s="1" t="s">
        <v>20</v>
      </c>
      <c r="D1603" s="1" t="s">
        <v>29</v>
      </c>
      <c r="E1603" s="10">
        <v>17</v>
      </c>
      <c r="F1603" s="10">
        <v>1139</v>
      </c>
      <c r="G1603" s="1" t="s">
        <v>33</v>
      </c>
      <c r="H1603" s="10">
        <f t="shared" ref="H1603:H1666" si="52">E1603*F1603</f>
        <v>19363</v>
      </c>
      <c r="I1603" s="7">
        <v>13588.832940025981</v>
      </c>
      <c r="J1603" s="7">
        <f t="shared" ref="J1603:J1666" si="53">H1603-I1603</f>
        <v>5774.1670599740191</v>
      </c>
      <c r="K1603" s="1">
        <f>IF(B1603="North",28.6,
IF(B1603="South",13,
IF(B1603="East",22.6,
IF(B1603="West",19,
23.5))))</f>
        <v>13</v>
      </c>
      <c r="L1603" s="1">
        <f>IF(B1603="North",77.2,
IF(B1603="South",80.2,
IF(B1603="East",88.4,
IF(B1603="West",72.8,
78.9))))</f>
        <v>80.2</v>
      </c>
    </row>
    <row r="1604" spans="1:12" x14ac:dyDescent="0.25">
      <c r="A1604" s="5">
        <v>45331</v>
      </c>
      <c r="B1604" s="1" t="s">
        <v>12</v>
      </c>
      <c r="C1604" s="1" t="s">
        <v>23</v>
      </c>
      <c r="D1604" s="1" t="s">
        <v>28</v>
      </c>
      <c r="E1604" s="10">
        <v>10</v>
      </c>
      <c r="F1604" s="10">
        <v>1457</v>
      </c>
      <c r="G1604" s="1" t="s">
        <v>34</v>
      </c>
      <c r="H1604" s="10">
        <f t="shared" si="52"/>
        <v>14570</v>
      </c>
      <c r="I1604" s="7">
        <v>11057.61797157573</v>
      </c>
      <c r="J1604" s="7">
        <f t="shared" si="53"/>
        <v>3512.3820284242702</v>
      </c>
      <c r="K1604" s="1">
        <f>IF(B1604="North",28.6,
IF(B1604="South",13,
IF(B1604="East",22.6,
IF(B1604="West",19,
23.5))))</f>
        <v>22.6</v>
      </c>
      <c r="L1604" s="1">
        <f>IF(B1604="North",77.2,
IF(B1604="South",80.2,
IF(B1604="East",88.4,
IF(B1604="West",72.8,
78.9))))</f>
        <v>88.4</v>
      </c>
    </row>
    <row r="1605" spans="1:12" x14ac:dyDescent="0.25">
      <c r="A1605" s="5">
        <v>45316</v>
      </c>
      <c r="B1605" s="1" t="s">
        <v>13</v>
      </c>
      <c r="C1605" s="1" t="s">
        <v>18</v>
      </c>
      <c r="D1605" s="1" t="s">
        <v>26</v>
      </c>
      <c r="E1605" s="10">
        <v>10</v>
      </c>
      <c r="F1605" s="10">
        <v>1587</v>
      </c>
      <c r="G1605" s="1" t="s">
        <v>34</v>
      </c>
      <c r="H1605" s="10">
        <f t="shared" si="52"/>
        <v>15870</v>
      </c>
      <c r="I1605" s="7">
        <v>12697.20145219643</v>
      </c>
      <c r="J1605" s="7">
        <f t="shared" si="53"/>
        <v>3172.7985478035698</v>
      </c>
      <c r="K1605" s="1">
        <f>IF(B1605="North",28.6,
IF(B1605="South",13,
IF(B1605="East",22.6,
IF(B1605="West",19,
23.5))))</f>
        <v>13</v>
      </c>
      <c r="L1605" s="1">
        <f>IF(B1605="North",77.2,
IF(B1605="South",80.2,
IF(B1605="East",88.4,
IF(B1605="West",72.8,
78.9))))</f>
        <v>80.2</v>
      </c>
    </row>
    <row r="1606" spans="1:12" x14ac:dyDescent="0.25">
      <c r="A1606" s="5">
        <v>45552</v>
      </c>
      <c r="B1606" s="1" t="s">
        <v>11</v>
      </c>
      <c r="C1606" s="1" t="s">
        <v>24</v>
      </c>
      <c r="D1606" s="1" t="s">
        <v>31</v>
      </c>
      <c r="E1606" s="10">
        <v>11</v>
      </c>
      <c r="F1606" s="10">
        <v>1182</v>
      </c>
      <c r="G1606" s="1" t="s">
        <v>35</v>
      </c>
      <c r="H1606" s="10">
        <f t="shared" si="52"/>
        <v>13002</v>
      </c>
      <c r="I1606" s="7">
        <v>9168.0582836258509</v>
      </c>
      <c r="J1606" s="7">
        <f t="shared" si="53"/>
        <v>3833.9417163741491</v>
      </c>
      <c r="K1606" s="1">
        <f>IF(B1606="North",28.6,
IF(B1606="South",13,
IF(B1606="East",22.6,
IF(B1606="West",19,
23.5))))</f>
        <v>19</v>
      </c>
      <c r="L1606" s="1">
        <f>IF(B1606="North",77.2,
IF(B1606="South",80.2,
IF(B1606="East",88.4,
IF(B1606="West",72.8,
78.9))))</f>
        <v>72.8</v>
      </c>
    </row>
    <row r="1607" spans="1:12" x14ac:dyDescent="0.25">
      <c r="A1607" s="5">
        <v>45517</v>
      </c>
      <c r="B1607" s="1" t="s">
        <v>10</v>
      </c>
      <c r="C1607" s="1" t="s">
        <v>21</v>
      </c>
      <c r="D1607" s="1" t="s">
        <v>30</v>
      </c>
      <c r="E1607" s="10">
        <v>17</v>
      </c>
      <c r="F1607" s="10">
        <v>1112</v>
      </c>
      <c r="G1607" s="1" t="s">
        <v>35</v>
      </c>
      <c r="H1607" s="10">
        <f t="shared" si="52"/>
        <v>18904</v>
      </c>
      <c r="I1607" s="7">
        <v>16982.311322962541</v>
      </c>
      <c r="J1607" s="7">
        <f t="shared" si="53"/>
        <v>1921.6886770374585</v>
      </c>
      <c r="K1607" s="1">
        <f>IF(B1607="North",28.6,
IF(B1607="South",13,
IF(B1607="East",22.6,
IF(B1607="West",19,
23.5))))</f>
        <v>28.6</v>
      </c>
      <c r="L1607" s="1">
        <f>IF(B1607="North",77.2,
IF(B1607="South",80.2,
IF(B1607="East",88.4,
IF(B1607="West",72.8,
78.9))))</f>
        <v>77.2</v>
      </c>
    </row>
    <row r="1608" spans="1:12" x14ac:dyDescent="0.25">
      <c r="A1608" s="5">
        <v>45415</v>
      </c>
      <c r="B1608" s="1" t="s">
        <v>12</v>
      </c>
      <c r="C1608" s="1" t="s">
        <v>22</v>
      </c>
      <c r="D1608" s="1" t="s">
        <v>31</v>
      </c>
      <c r="E1608" s="10">
        <v>5</v>
      </c>
      <c r="F1608" s="10">
        <v>276</v>
      </c>
      <c r="G1608" s="1" t="s">
        <v>35</v>
      </c>
      <c r="H1608" s="10">
        <f t="shared" si="52"/>
        <v>1380</v>
      </c>
      <c r="I1608" s="7">
        <v>1061.402932149871</v>
      </c>
      <c r="J1608" s="7">
        <f t="shared" si="53"/>
        <v>318.59706785012895</v>
      </c>
      <c r="K1608" s="1">
        <f>IF(B1608="North",28.6,
IF(B1608="South",13,
IF(B1608="East",22.6,
IF(B1608="West",19,
23.5))))</f>
        <v>22.6</v>
      </c>
      <c r="L1608" s="1">
        <f>IF(B1608="North",77.2,
IF(B1608="South",80.2,
IF(B1608="East",88.4,
IF(B1608="West",72.8,
78.9))))</f>
        <v>88.4</v>
      </c>
    </row>
    <row r="1609" spans="1:12" x14ac:dyDescent="0.25">
      <c r="A1609" s="5">
        <v>45329</v>
      </c>
      <c r="B1609" s="1" t="s">
        <v>13</v>
      </c>
      <c r="C1609" s="1" t="s">
        <v>23</v>
      </c>
      <c r="D1609" s="1" t="s">
        <v>25</v>
      </c>
      <c r="E1609" s="10">
        <v>13</v>
      </c>
      <c r="F1609" s="10">
        <v>162</v>
      </c>
      <c r="G1609" s="1" t="s">
        <v>34</v>
      </c>
      <c r="H1609" s="10">
        <f t="shared" si="52"/>
        <v>2106</v>
      </c>
      <c r="I1609" s="7">
        <v>1784.4948130349189</v>
      </c>
      <c r="J1609" s="7">
        <f t="shared" si="53"/>
        <v>321.50518696508107</v>
      </c>
      <c r="K1609" s="1">
        <f>IF(B1609="North",28.6,
IF(B1609="South",13,
IF(B1609="East",22.6,
IF(B1609="West",19,
23.5))))</f>
        <v>13</v>
      </c>
      <c r="L1609" s="1">
        <f>IF(B1609="North",77.2,
IF(B1609="South",80.2,
IF(B1609="East",88.4,
IF(B1609="West",72.8,
78.9))))</f>
        <v>80.2</v>
      </c>
    </row>
    <row r="1610" spans="1:12" x14ac:dyDescent="0.25">
      <c r="A1610" s="5">
        <v>45619</v>
      </c>
      <c r="B1610" s="1" t="s">
        <v>15</v>
      </c>
      <c r="C1610" s="1" t="s">
        <v>21</v>
      </c>
      <c r="D1610" s="1" t="s">
        <v>28</v>
      </c>
      <c r="E1610" s="10">
        <v>10</v>
      </c>
      <c r="F1610" s="10">
        <v>1057</v>
      </c>
      <c r="G1610" s="1" t="s">
        <v>35</v>
      </c>
      <c r="H1610" s="10">
        <f t="shared" si="52"/>
        <v>10570</v>
      </c>
      <c r="I1610" s="7">
        <v>8641.4037918501199</v>
      </c>
      <c r="J1610" s="7">
        <f t="shared" si="53"/>
        <v>1928.5962081498801</v>
      </c>
      <c r="K1610" s="1">
        <f>IF(B1610="North",28.6,
IF(B1610="South",13,
IF(B1610="East",22.6,
IF(B1610="West",19,
23.5))))</f>
        <v>28.6</v>
      </c>
      <c r="L1610" s="1">
        <f>IF(B1610="North",77.2,
IF(B1610="South",80.2,
IF(B1610="East",88.4,
IF(B1610="West",72.8,
78.9))))</f>
        <v>77.2</v>
      </c>
    </row>
    <row r="1611" spans="1:12" x14ac:dyDescent="0.25">
      <c r="A1611" s="5">
        <v>45542</v>
      </c>
      <c r="B1611" s="1" t="s">
        <v>36</v>
      </c>
      <c r="C1611" s="1" t="s">
        <v>22</v>
      </c>
      <c r="D1611" s="1" t="s">
        <v>25</v>
      </c>
      <c r="E1611" s="10">
        <v>9</v>
      </c>
      <c r="F1611" s="10">
        <v>1102</v>
      </c>
      <c r="G1611" s="1" t="s">
        <v>35</v>
      </c>
      <c r="H1611" s="10">
        <f t="shared" si="52"/>
        <v>9918</v>
      </c>
      <c r="I1611" s="7">
        <v>8488.2369303917512</v>
      </c>
      <c r="J1611" s="7">
        <f t="shared" si="53"/>
        <v>1429.7630696082488</v>
      </c>
      <c r="K1611" s="1">
        <f>IF(B1611="North",28.6,
IF(B1611="South",13,
IF(B1611="East",22.6,
IF(B1611="West",19,
23.5))))</f>
        <v>23.5</v>
      </c>
      <c r="L1611" s="1">
        <f>IF(B1611="North",77.2,
IF(B1611="South",80.2,
IF(B1611="East",88.4,
IF(B1611="West",72.8,
78.9))))</f>
        <v>78.900000000000006</v>
      </c>
    </row>
    <row r="1612" spans="1:12" x14ac:dyDescent="0.25">
      <c r="A1612" s="5">
        <v>45467</v>
      </c>
      <c r="B1612" s="1" t="s">
        <v>13</v>
      </c>
      <c r="C1612" s="1" t="s">
        <v>40</v>
      </c>
      <c r="D1612" s="1" t="s">
        <v>29</v>
      </c>
      <c r="E1612" s="10">
        <v>17</v>
      </c>
      <c r="F1612" s="10">
        <v>660</v>
      </c>
      <c r="G1612" s="1" t="s">
        <v>33</v>
      </c>
      <c r="H1612" s="10">
        <f t="shared" si="52"/>
        <v>11220</v>
      </c>
      <c r="I1612" s="7">
        <v>7317.0140129768197</v>
      </c>
      <c r="J1612" s="7">
        <f t="shared" si="53"/>
        <v>3902.9859870231803</v>
      </c>
      <c r="K1612" s="1">
        <f>IF(B1612="North",28.6,
IF(B1612="South",13,
IF(B1612="East",22.6,
IF(B1612="West",19,
23.5))))</f>
        <v>13</v>
      </c>
      <c r="L1612" s="1">
        <f>IF(B1612="North",77.2,
IF(B1612="South",80.2,
IF(B1612="East",88.4,
IF(B1612="West",72.8,
78.9))))</f>
        <v>80.2</v>
      </c>
    </row>
    <row r="1613" spans="1:12" x14ac:dyDescent="0.25">
      <c r="A1613" s="5">
        <v>45381</v>
      </c>
      <c r="B1613" s="1" t="s">
        <v>12</v>
      </c>
      <c r="C1613" s="1" t="s">
        <v>23</v>
      </c>
      <c r="D1613" s="1" t="s">
        <v>28</v>
      </c>
      <c r="E1613" s="10">
        <v>1</v>
      </c>
      <c r="F1613" s="10">
        <v>1430</v>
      </c>
      <c r="G1613" s="1" t="s">
        <v>34</v>
      </c>
      <c r="H1613" s="10">
        <f t="shared" si="52"/>
        <v>1430</v>
      </c>
      <c r="I1613" s="7">
        <v>953.47554147317078</v>
      </c>
      <c r="J1613" s="7">
        <f t="shared" si="53"/>
        <v>476.52445852682922</v>
      </c>
      <c r="K1613" s="1">
        <f>IF(B1613="North",28.6,
IF(B1613="South",13,
IF(B1613="East",22.6,
IF(B1613="West",19,
23.5))))</f>
        <v>22.6</v>
      </c>
      <c r="L1613" s="1">
        <f>IF(B1613="North",77.2,
IF(B1613="South",80.2,
IF(B1613="East",88.4,
IF(B1613="West",72.8,
78.9))))</f>
        <v>88.4</v>
      </c>
    </row>
    <row r="1614" spans="1:12" x14ac:dyDescent="0.25">
      <c r="A1614" s="5">
        <v>45328</v>
      </c>
      <c r="B1614" s="1" t="s">
        <v>10</v>
      </c>
      <c r="C1614" s="1" t="s">
        <v>17</v>
      </c>
      <c r="D1614" s="1" t="s">
        <v>31</v>
      </c>
      <c r="E1614" s="10">
        <v>4</v>
      </c>
      <c r="F1614" s="10">
        <v>1369</v>
      </c>
      <c r="G1614" s="1" t="s">
        <v>33</v>
      </c>
      <c r="H1614" s="10">
        <f t="shared" si="52"/>
        <v>5476</v>
      </c>
      <c r="I1614" s="7">
        <v>4086.3190830381691</v>
      </c>
      <c r="J1614" s="7">
        <f t="shared" si="53"/>
        <v>1389.6809169618309</v>
      </c>
      <c r="K1614" s="1">
        <f>IF(B1614="North",28.6,
IF(B1614="South",13,
IF(B1614="East",22.6,
IF(B1614="West",19,
23.5))))</f>
        <v>28.6</v>
      </c>
      <c r="L1614" s="1">
        <f>IF(B1614="North",77.2,
IF(B1614="South",80.2,
IF(B1614="East",88.4,
IF(B1614="West",72.8,
78.9))))</f>
        <v>77.2</v>
      </c>
    </row>
    <row r="1615" spans="1:12" x14ac:dyDescent="0.25">
      <c r="A1615" s="5">
        <v>45607</v>
      </c>
      <c r="B1615" s="1" t="s">
        <v>11</v>
      </c>
      <c r="C1615" s="1" t="s">
        <v>23</v>
      </c>
      <c r="D1615" s="1" t="s">
        <v>29</v>
      </c>
      <c r="E1615" s="10">
        <v>4</v>
      </c>
      <c r="F1615" s="10">
        <v>1412</v>
      </c>
      <c r="G1615" s="1" t="s">
        <v>34</v>
      </c>
      <c r="H1615" s="10">
        <f t="shared" si="52"/>
        <v>5648</v>
      </c>
      <c r="I1615" s="7">
        <v>4832.9857094369336</v>
      </c>
      <c r="J1615" s="7">
        <f t="shared" si="53"/>
        <v>815.01429056306642</v>
      </c>
      <c r="K1615" s="1">
        <f>IF(B1615="North",28.6,
IF(B1615="South",13,
IF(B1615="East",22.6,
IF(B1615="West",19,
23.5))))</f>
        <v>19</v>
      </c>
      <c r="L1615" s="1">
        <f>IF(B1615="North",77.2,
IF(B1615="South",80.2,
IF(B1615="East",88.4,
IF(B1615="West",72.8,
78.9))))</f>
        <v>72.8</v>
      </c>
    </row>
    <row r="1616" spans="1:12" x14ac:dyDescent="0.25">
      <c r="A1616" s="5">
        <v>45467</v>
      </c>
      <c r="B1616" s="1" t="s">
        <v>11</v>
      </c>
      <c r="C1616" s="1" t="s">
        <v>17</v>
      </c>
      <c r="D1616" s="1" t="s">
        <v>29</v>
      </c>
      <c r="E1616" s="10">
        <v>18</v>
      </c>
      <c r="F1616" s="10">
        <v>1921</v>
      </c>
      <c r="G1616" s="1" t="s">
        <v>33</v>
      </c>
      <c r="H1616" s="10">
        <f t="shared" si="52"/>
        <v>34578</v>
      </c>
      <c r="I1616" s="7">
        <v>22796.65211139993</v>
      </c>
      <c r="J1616" s="7">
        <f t="shared" si="53"/>
        <v>11781.34788860007</v>
      </c>
      <c r="K1616" s="1">
        <f>IF(B1616="North",28.6,
IF(B1616="South",13,
IF(B1616="East",22.6,
IF(B1616="West",19,
23.5))))</f>
        <v>19</v>
      </c>
      <c r="L1616" s="1">
        <f>IF(B1616="North",77.2,
IF(B1616="South",80.2,
IF(B1616="East",88.4,
IF(B1616="West",72.8,
78.9))))</f>
        <v>72.8</v>
      </c>
    </row>
    <row r="1617" spans="1:12" x14ac:dyDescent="0.25">
      <c r="A1617" s="5">
        <v>45575</v>
      </c>
      <c r="B1617" s="1" t="s">
        <v>36</v>
      </c>
      <c r="C1617" s="1" t="s">
        <v>18</v>
      </c>
      <c r="D1617" s="1" t="s">
        <v>29</v>
      </c>
      <c r="E1617" s="10">
        <v>9</v>
      </c>
      <c r="F1617" s="10">
        <v>1073.5</v>
      </c>
      <c r="G1617" s="1" t="s">
        <v>34</v>
      </c>
      <c r="H1617" s="10">
        <f t="shared" si="52"/>
        <v>9661.5</v>
      </c>
      <c r="I1617" s="7">
        <f>H1617*0.7</f>
        <v>6763.0499999999993</v>
      </c>
      <c r="J1617" s="7">
        <f t="shared" si="53"/>
        <v>2898.4500000000007</v>
      </c>
      <c r="K1617" s="1">
        <f>IF(B1617="North",28.6,
IF(B1617="South",13,
IF(B1617="East",22.6,
IF(B1617="West",19,
23.5))))</f>
        <v>23.5</v>
      </c>
      <c r="L1617" s="1">
        <f>IF(B1617="North",77.2,
IF(B1617="South",80.2,
IF(B1617="East",88.4,
IF(B1617="West",72.8,
78.9))))</f>
        <v>78.900000000000006</v>
      </c>
    </row>
    <row r="1618" spans="1:12" x14ac:dyDescent="0.25">
      <c r="A1618" s="5">
        <v>45372</v>
      </c>
      <c r="B1618" s="1" t="s">
        <v>12</v>
      </c>
      <c r="C1618" s="1" t="s">
        <v>21</v>
      </c>
      <c r="D1618" s="1" t="s">
        <v>32</v>
      </c>
      <c r="E1618" s="10">
        <v>18</v>
      </c>
      <c r="F1618" s="10">
        <v>1455</v>
      </c>
      <c r="G1618" s="1" t="s">
        <v>35</v>
      </c>
      <c r="H1618" s="10">
        <f t="shared" si="52"/>
        <v>26190</v>
      </c>
      <c r="I1618" s="7">
        <v>16716.571336432069</v>
      </c>
      <c r="J1618" s="7">
        <f t="shared" si="53"/>
        <v>9473.4286635679309</v>
      </c>
      <c r="K1618" s="1">
        <f>IF(B1618="North",28.6,
IF(B1618="South",13,
IF(B1618="East",22.6,
IF(B1618="West",19,
23.5))))</f>
        <v>22.6</v>
      </c>
      <c r="L1618" s="1">
        <f>IF(B1618="North",77.2,
IF(B1618="South",80.2,
IF(B1618="East",88.4,
IF(B1618="West",72.8,
78.9))))</f>
        <v>88.4</v>
      </c>
    </row>
    <row r="1619" spans="1:12" x14ac:dyDescent="0.25">
      <c r="A1619" s="5">
        <v>45405</v>
      </c>
      <c r="B1619" s="1" t="s">
        <v>13</v>
      </c>
      <c r="C1619" s="1" t="s">
        <v>20</v>
      </c>
      <c r="D1619" s="1" t="s">
        <v>28</v>
      </c>
      <c r="E1619" s="10">
        <v>14</v>
      </c>
      <c r="F1619" s="10">
        <v>1650</v>
      </c>
      <c r="G1619" s="1" t="s">
        <v>33</v>
      </c>
      <c r="H1619" s="10">
        <f t="shared" si="52"/>
        <v>23100</v>
      </c>
      <c r="I1619" s="7">
        <v>15073.29016010092</v>
      </c>
      <c r="J1619" s="7">
        <f t="shared" si="53"/>
        <v>8026.7098398990802</v>
      </c>
      <c r="K1619" s="1">
        <f>IF(B1619="North",28.6,
IF(B1619="South",13,
IF(B1619="East",22.6,
IF(B1619="West",19,
23.5))))</f>
        <v>13</v>
      </c>
      <c r="L1619" s="1">
        <f>IF(B1619="North",77.2,
IF(B1619="South",80.2,
IF(B1619="East",88.4,
IF(B1619="West",72.8,
78.9))))</f>
        <v>80.2</v>
      </c>
    </row>
    <row r="1620" spans="1:12" x14ac:dyDescent="0.25">
      <c r="A1620" s="5">
        <v>45331</v>
      </c>
      <c r="B1620" s="1" t="s">
        <v>12</v>
      </c>
      <c r="C1620" s="1" t="s">
        <v>23</v>
      </c>
      <c r="D1620" s="1" t="s">
        <v>27</v>
      </c>
      <c r="E1620" s="10">
        <v>15</v>
      </c>
      <c r="F1620" s="10">
        <v>949</v>
      </c>
      <c r="G1620" s="1" t="s">
        <v>34</v>
      </c>
      <c r="H1620" s="10">
        <f t="shared" si="52"/>
        <v>14235</v>
      </c>
      <c r="I1620" s="7">
        <v>9255.1718718648244</v>
      </c>
      <c r="J1620" s="7">
        <f t="shared" si="53"/>
        <v>4979.8281281351756</v>
      </c>
      <c r="K1620" s="1">
        <f>IF(B1620="North",28.6,
IF(B1620="South",13,
IF(B1620="East",22.6,
IF(B1620="West",19,
23.5))))</f>
        <v>22.6</v>
      </c>
      <c r="L1620" s="1">
        <f>IF(B1620="North",77.2,
IF(B1620="South",80.2,
IF(B1620="East",88.4,
IF(B1620="West",72.8,
78.9))))</f>
        <v>88.4</v>
      </c>
    </row>
    <row r="1621" spans="1:12" x14ac:dyDescent="0.25">
      <c r="A1621" s="5">
        <v>45592</v>
      </c>
      <c r="B1621" s="1" t="s">
        <v>10</v>
      </c>
      <c r="C1621" s="1" t="s">
        <v>18</v>
      </c>
      <c r="D1621" s="1" t="s">
        <v>27</v>
      </c>
      <c r="E1621" s="10">
        <v>10</v>
      </c>
      <c r="F1621" s="10">
        <v>1378</v>
      </c>
      <c r="G1621" s="1" t="s">
        <v>34</v>
      </c>
      <c r="H1621" s="10">
        <f t="shared" si="52"/>
        <v>13780</v>
      </c>
      <c r="I1621" s="7">
        <f>H1621*0.7</f>
        <v>9646</v>
      </c>
      <c r="J1621" s="7">
        <f t="shared" si="53"/>
        <v>4134</v>
      </c>
      <c r="K1621" s="1">
        <f>IF(B1621="North",28.6,
IF(B1621="South",13,
IF(B1621="East",22.6,
IF(B1621="West",19,
23.5))))</f>
        <v>28.6</v>
      </c>
      <c r="L1621" s="1">
        <f>IF(B1621="North",77.2,
IF(B1621="South",80.2,
IF(B1621="East",88.4,
IF(B1621="West",72.8,
78.9))))</f>
        <v>77.2</v>
      </c>
    </row>
    <row r="1622" spans="1:12" x14ac:dyDescent="0.25">
      <c r="A1622" s="5">
        <v>45515</v>
      </c>
      <c r="B1622" s="1" t="s">
        <v>12</v>
      </c>
      <c r="C1622" s="1" t="s">
        <v>23</v>
      </c>
      <c r="D1622" s="1" t="s">
        <v>28</v>
      </c>
      <c r="E1622" s="10">
        <v>10</v>
      </c>
      <c r="F1622" s="10">
        <v>703</v>
      </c>
      <c r="G1622" s="1" t="s">
        <v>34</v>
      </c>
      <c r="H1622" s="10">
        <f t="shared" si="52"/>
        <v>7030</v>
      </c>
      <c r="I1622" s="7">
        <v>6153.0941410873047</v>
      </c>
      <c r="J1622" s="7">
        <f t="shared" si="53"/>
        <v>876.90585891269529</v>
      </c>
      <c r="K1622" s="1">
        <f>IF(B1622="North",28.6,
IF(B1622="South",13,
IF(B1622="East",22.6,
IF(B1622="West",19,
23.5))))</f>
        <v>22.6</v>
      </c>
      <c r="L1622" s="1">
        <f>IF(B1622="North",77.2,
IF(B1622="South",80.2,
IF(B1622="East",88.4,
IF(B1622="West",72.8,
78.9))))</f>
        <v>88.4</v>
      </c>
    </row>
    <row r="1623" spans="1:12" x14ac:dyDescent="0.25">
      <c r="A1623" s="5">
        <v>45609</v>
      </c>
      <c r="B1623" s="1" t="s">
        <v>11</v>
      </c>
      <c r="C1623" s="1" t="s">
        <v>17</v>
      </c>
      <c r="D1623" s="1" t="s">
        <v>28</v>
      </c>
      <c r="E1623" s="10">
        <v>15</v>
      </c>
      <c r="F1623" s="10">
        <v>1633</v>
      </c>
      <c r="G1623" s="1" t="s">
        <v>33</v>
      </c>
      <c r="H1623" s="10">
        <f t="shared" si="52"/>
        <v>24495</v>
      </c>
      <c r="I1623" s="7">
        <v>16571.686028592569</v>
      </c>
      <c r="J1623" s="7">
        <f t="shared" si="53"/>
        <v>7923.3139714074314</v>
      </c>
      <c r="K1623" s="1">
        <f>IF(B1623="North",28.6,
IF(B1623="South",13,
IF(B1623="East",22.6,
IF(B1623="West",19,
23.5))))</f>
        <v>19</v>
      </c>
      <c r="L1623" s="1">
        <f>IF(B1623="North",77.2,
IF(B1623="South",80.2,
IF(B1623="East",88.4,
IF(B1623="West",72.8,
78.9))))</f>
        <v>72.8</v>
      </c>
    </row>
    <row r="1624" spans="1:12" x14ac:dyDescent="0.25">
      <c r="A1624" s="5">
        <v>45640</v>
      </c>
      <c r="B1624" s="1" t="s">
        <v>12</v>
      </c>
      <c r="C1624" s="1" t="s">
        <v>22</v>
      </c>
      <c r="D1624" s="1" t="s">
        <v>32</v>
      </c>
      <c r="E1624" s="10">
        <v>4</v>
      </c>
      <c r="F1624" s="10">
        <v>1914</v>
      </c>
      <c r="G1624" s="1" t="s">
        <v>35</v>
      </c>
      <c r="H1624" s="10">
        <f t="shared" si="52"/>
        <v>7656</v>
      </c>
      <c r="I1624" s="7">
        <v>5863.8150450236226</v>
      </c>
      <c r="J1624" s="7">
        <f t="shared" si="53"/>
        <v>1792.1849549763774</v>
      </c>
      <c r="K1624" s="1">
        <f>IF(B1624="North",28.6,
IF(B1624="South",13,
IF(B1624="East",22.6,
IF(B1624="West",19,
23.5))))</f>
        <v>22.6</v>
      </c>
      <c r="L1624" s="1">
        <f>IF(B1624="North",77.2,
IF(B1624="South",80.2,
IF(B1624="East",88.4,
IF(B1624="West",72.8,
78.9))))</f>
        <v>88.4</v>
      </c>
    </row>
    <row r="1625" spans="1:12" x14ac:dyDescent="0.25">
      <c r="A1625" s="5">
        <v>45406</v>
      </c>
      <c r="B1625" s="1" t="s">
        <v>10</v>
      </c>
      <c r="C1625" s="1" t="s">
        <v>23</v>
      </c>
      <c r="D1625" s="1" t="s">
        <v>27</v>
      </c>
      <c r="E1625" s="10">
        <v>18</v>
      </c>
      <c r="F1625" s="10">
        <v>1841</v>
      </c>
      <c r="G1625" s="1" t="s">
        <v>34</v>
      </c>
      <c r="H1625" s="10">
        <f t="shared" si="52"/>
        <v>33138</v>
      </c>
      <c r="I1625" s="7">
        <v>21630.224831385829</v>
      </c>
      <c r="J1625" s="7">
        <f t="shared" si="53"/>
        <v>11507.775168614171</v>
      </c>
      <c r="K1625" s="1">
        <f>IF(B1625="North",28.6,
IF(B1625="South",13,
IF(B1625="East",22.6,
IF(B1625="West",19,
23.5))))</f>
        <v>28.6</v>
      </c>
      <c r="L1625" s="1">
        <f>IF(B1625="North",77.2,
IF(B1625="South",80.2,
IF(B1625="East",88.4,
IF(B1625="West",72.8,
78.9))))</f>
        <v>77.2</v>
      </c>
    </row>
    <row r="1626" spans="1:12" x14ac:dyDescent="0.25">
      <c r="A1626" s="5">
        <v>45477</v>
      </c>
      <c r="B1626" s="1" t="s">
        <v>11</v>
      </c>
      <c r="C1626" s="1" t="s">
        <v>18</v>
      </c>
      <c r="D1626" s="1" t="s">
        <v>28</v>
      </c>
      <c r="E1626" s="10">
        <v>18</v>
      </c>
      <c r="F1626" s="10">
        <v>705</v>
      </c>
      <c r="G1626" s="1" t="s">
        <v>34</v>
      </c>
      <c r="H1626" s="10">
        <f t="shared" si="52"/>
        <v>12690</v>
      </c>
      <c r="I1626" s="7">
        <v>10016.73816386309</v>
      </c>
      <c r="J1626" s="7">
        <f t="shared" si="53"/>
        <v>2673.2618361369096</v>
      </c>
      <c r="K1626" s="1">
        <f>IF(B1626="North",28.6,
IF(B1626="South",13,
IF(B1626="East",22.6,
IF(B1626="West",19,
23.5))))</f>
        <v>19</v>
      </c>
      <c r="L1626" s="1">
        <f>IF(B1626="North",77.2,
IF(B1626="South",80.2,
IF(B1626="East",88.4,
IF(B1626="West",72.8,
78.9))))</f>
        <v>72.8</v>
      </c>
    </row>
    <row r="1627" spans="1:12" x14ac:dyDescent="0.25">
      <c r="A1627" s="5">
        <v>45614</v>
      </c>
      <c r="B1627" s="1" t="s">
        <v>12</v>
      </c>
      <c r="C1627" s="1" t="s">
        <v>17</v>
      </c>
      <c r="D1627" s="1" t="s">
        <v>28</v>
      </c>
      <c r="E1627" s="10">
        <v>17</v>
      </c>
      <c r="F1627" s="10">
        <v>1860</v>
      </c>
      <c r="G1627" s="1" t="s">
        <v>33</v>
      </c>
      <c r="H1627" s="10">
        <f t="shared" si="52"/>
        <v>31620</v>
      </c>
      <c r="I1627" s="7">
        <v>20141.114744998849</v>
      </c>
      <c r="J1627" s="7">
        <f t="shared" si="53"/>
        <v>11478.885255001151</v>
      </c>
      <c r="K1627" s="1">
        <f>IF(B1627="North",28.6,
IF(B1627="South",13,
IF(B1627="East",22.6,
IF(B1627="West",19,
23.5))))</f>
        <v>22.6</v>
      </c>
      <c r="L1627" s="1">
        <f>IF(B1627="North",77.2,
IF(B1627="South",80.2,
IF(B1627="East",88.4,
IF(B1627="West",72.8,
78.9))))</f>
        <v>88.4</v>
      </c>
    </row>
    <row r="1628" spans="1:12" x14ac:dyDescent="0.25">
      <c r="A1628" s="5">
        <v>45347</v>
      </c>
      <c r="B1628" s="1" t="s">
        <v>12</v>
      </c>
      <c r="C1628" s="1" t="s">
        <v>19</v>
      </c>
      <c r="D1628" s="1" t="s">
        <v>25</v>
      </c>
      <c r="E1628" s="10">
        <v>12</v>
      </c>
      <c r="F1628" s="10">
        <v>1936</v>
      </c>
      <c r="G1628" s="1" t="s">
        <v>35</v>
      </c>
      <c r="H1628" s="10">
        <f t="shared" si="52"/>
        <v>23232</v>
      </c>
      <c r="I1628" s="7">
        <v>17363.439525256501</v>
      </c>
      <c r="J1628" s="7">
        <f t="shared" si="53"/>
        <v>5868.5604747434991</v>
      </c>
      <c r="K1628" s="1">
        <f>IF(B1628="North",28.6,
IF(B1628="South",13,
IF(B1628="East",22.6,
IF(B1628="West",19,
23.5))))</f>
        <v>22.6</v>
      </c>
      <c r="L1628" s="1">
        <f>IF(B1628="North",77.2,
IF(B1628="South",80.2,
IF(B1628="East",88.4,
IF(B1628="West",72.8,
78.9))))</f>
        <v>88.4</v>
      </c>
    </row>
    <row r="1629" spans="1:12" x14ac:dyDescent="0.25">
      <c r="A1629" s="5">
        <v>45331</v>
      </c>
      <c r="B1629" s="1" t="s">
        <v>11</v>
      </c>
      <c r="C1629" s="1" t="s">
        <v>17</v>
      </c>
      <c r="D1629" s="1" t="s">
        <v>32</v>
      </c>
      <c r="E1629" s="10">
        <v>7</v>
      </c>
      <c r="F1629" s="10">
        <v>929</v>
      </c>
      <c r="G1629" s="1" t="s">
        <v>33</v>
      </c>
      <c r="H1629" s="10">
        <f t="shared" si="52"/>
        <v>6503</v>
      </c>
      <c r="I1629" s="7">
        <v>5179.9942003022006</v>
      </c>
      <c r="J1629" s="7">
        <f t="shared" si="53"/>
        <v>1323.0057996977994</v>
      </c>
      <c r="K1629" s="1">
        <f>IF(B1629="North",28.6,
IF(B1629="South",13,
IF(B1629="East",22.6,
IF(B1629="West",19,
23.5))))</f>
        <v>19</v>
      </c>
      <c r="L1629" s="1">
        <f>IF(B1629="North",77.2,
IF(B1629="South",80.2,
IF(B1629="East",88.4,
IF(B1629="West",72.8,
78.9))))</f>
        <v>72.8</v>
      </c>
    </row>
    <row r="1630" spans="1:12" x14ac:dyDescent="0.25">
      <c r="A1630" s="5">
        <v>45645</v>
      </c>
      <c r="B1630" s="1" t="s">
        <v>13</v>
      </c>
      <c r="C1630" s="1" t="s">
        <v>21</v>
      </c>
      <c r="D1630" s="1" t="s">
        <v>32</v>
      </c>
      <c r="E1630" s="10">
        <v>16</v>
      </c>
      <c r="F1630" s="10">
        <v>1586</v>
      </c>
      <c r="G1630" s="1" t="s">
        <v>35</v>
      </c>
      <c r="H1630" s="10">
        <f t="shared" si="52"/>
        <v>25376</v>
      </c>
      <c r="I1630" s="7">
        <v>19634.385004676351</v>
      </c>
      <c r="J1630" s="7">
        <f t="shared" si="53"/>
        <v>5741.6149953236491</v>
      </c>
      <c r="K1630" s="1">
        <f>IF(B1630="North",28.6,
IF(B1630="South",13,
IF(B1630="East",22.6,
IF(B1630="West",19,
23.5))))</f>
        <v>13</v>
      </c>
      <c r="L1630" s="1">
        <f>IF(B1630="North",77.2,
IF(B1630="South",80.2,
IF(B1630="East",88.4,
IF(B1630="West",72.8,
78.9))))</f>
        <v>80.2</v>
      </c>
    </row>
    <row r="1631" spans="1:12" x14ac:dyDescent="0.25">
      <c r="A1631" s="5">
        <v>45331</v>
      </c>
      <c r="B1631" s="1" t="s">
        <v>11</v>
      </c>
      <c r="C1631" s="1" t="s">
        <v>20</v>
      </c>
      <c r="D1631" s="1" t="s">
        <v>31</v>
      </c>
      <c r="E1631" s="10">
        <v>11</v>
      </c>
      <c r="F1631" s="10">
        <v>1322</v>
      </c>
      <c r="G1631" s="1" t="s">
        <v>33</v>
      </c>
      <c r="H1631" s="10">
        <f t="shared" si="52"/>
        <v>14542</v>
      </c>
      <c r="I1631" s="7">
        <v>9335.966105830259</v>
      </c>
      <c r="J1631" s="7">
        <f t="shared" si="53"/>
        <v>5206.033894169741</v>
      </c>
      <c r="K1631" s="1">
        <f>IF(B1631="North",28.6,
IF(B1631="South",13,
IF(B1631="East",22.6,
IF(B1631="West",19,
23.5))))</f>
        <v>19</v>
      </c>
      <c r="L1631" s="1">
        <f>IF(B1631="North",77.2,
IF(B1631="South",80.2,
IF(B1631="East",88.4,
IF(B1631="West",72.8,
78.9))))</f>
        <v>72.8</v>
      </c>
    </row>
    <row r="1632" spans="1:12" x14ac:dyDescent="0.25">
      <c r="A1632" s="5">
        <v>45638</v>
      </c>
      <c r="B1632" s="1" t="s">
        <v>13</v>
      </c>
      <c r="C1632" s="1" t="s">
        <v>19</v>
      </c>
      <c r="D1632" s="1" t="s">
        <v>32</v>
      </c>
      <c r="E1632" s="10">
        <v>14</v>
      </c>
      <c r="F1632" s="10">
        <v>1394</v>
      </c>
      <c r="G1632" s="1" t="s">
        <v>35</v>
      </c>
      <c r="H1632" s="10">
        <f t="shared" si="52"/>
        <v>19516</v>
      </c>
      <c r="I1632" s="7">
        <v>12654.408815545021</v>
      </c>
      <c r="J1632" s="7">
        <f t="shared" si="53"/>
        <v>6861.5911844549792</v>
      </c>
      <c r="K1632" s="1">
        <f>IF(B1632="North",28.6,
IF(B1632="South",13,
IF(B1632="East",22.6,
IF(B1632="West",19,
23.5))))</f>
        <v>13</v>
      </c>
      <c r="L1632" s="1">
        <f>IF(B1632="North",77.2,
IF(B1632="South",80.2,
IF(B1632="East",88.4,
IF(B1632="West",72.8,
78.9))))</f>
        <v>80.2</v>
      </c>
    </row>
    <row r="1633" spans="1:12" x14ac:dyDescent="0.25">
      <c r="A1633" s="5">
        <v>45528</v>
      </c>
      <c r="B1633" s="1" t="s">
        <v>10</v>
      </c>
      <c r="C1633" s="1" t="s">
        <v>21</v>
      </c>
      <c r="D1633" s="1" t="s">
        <v>30</v>
      </c>
      <c r="E1633" s="10">
        <v>3</v>
      </c>
      <c r="F1633" s="10">
        <v>845</v>
      </c>
      <c r="G1633" s="1" t="s">
        <v>35</v>
      </c>
      <c r="H1633" s="10">
        <f t="shared" si="52"/>
        <v>2535</v>
      </c>
      <c r="I1633" s="7">
        <v>2031.592859169403</v>
      </c>
      <c r="J1633" s="7">
        <f t="shared" si="53"/>
        <v>503.40714083059697</v>
      </c>
      <c r="K1633" s="1">
        <f>IF(B1633="North",28.6,
IF(B1633="South",13,
IF(B1633="East",22.6,
IF(B1633="West",19,
23.5))))</f>
        <v>28.6</v>
      </c>
      <c r="L1633" s="1">
        <f>IF(B1633="North",77.2,
IF(B1633="South",80.2,
IF(B1633="East",88.4,
IF(B1633="West",72.8,
78.9))))</f>
        <v>77.2</v>
      </c>
    </row>
    <row r="1634" spans="1:12" x14ac:dyDescent="0.25">
      <c r="A1634" s="5">
        <v>45580</v>
      </c>
      <c r="B1634" s="1" t="s">
        <v>10</v>
      </c>
      <c r="C1634" s="1" t="s">
        <v>21</v>
      </c>
      <c r="D1634" s="1" t="s">
        <v>27</v>
      </c>
      <c r="E1634" s="10">
        <v>19</v>
      </c>
      <c r="F1634" s="10">
        <v>657</v>
      </c>
      <c r="G1634" s="1" t="s">
        <v>35</v>
      </c>
      <c r="H1634" s="10">
        <f t="shared" si="52"/>
        <v>12483</v>
      </c>
      <c r="I1634" s="7">
        <v>10519.0844229266</v>
      </c>
      <c r="J1634" s="7">
        <f t="shared" si="53"/>
        <v>1963.9155770733996</v>
      </c>
      <c r="K1634" s="1">
        <f>IF(B1634="North",28.6,
IF(B1634="South",13,
IF(B1634="East",22.6,
IF(B1634="West",19,
23.5))))</f>
        <v>28.6</v>
      </c>
      <c r="L1634" s="1">
        <f>IF(B1634="North",77.2,
IF(B1634="South",80.2,
IF(B1634="East",88.4,
IF(B1634="West",72.8,
78.9))))</f>
        <v>77.2</v>
      </c>
    </row>
    <row r="1635" spans="1:12" x14ac:dyDescent="0.25">
      <c r="A1635" s="5">
        <v>45553</v>
      </c>
      <c r="B1635" s="1" t="s">
        <v>11</v>
      </c>
      <c r="C1635" s="1" t="s">
        <v>21</v>
      </c>
      <c r="D1635" s="1" t="s">
        <v>31</v>
      </c>
      <c r="E1635" s="10">
        <v>18</v>
      </c>
      <c r="F1635" s="10">
        <v>163</v>
      </c>
      <c r="G1635" s="1" t="s">
        <v>35</v>
      </c>
      <c r="H1635" s="10">
        <f t="shared" si="52"/>
        <v>2934</v>
      </c>
      <c r="I1635" s="7">
        <v>2559.687089106546</v>
      </c>
      <c r="J1635" s="7">
        <f t="shared" si="53"/>
        <v>374.31291089345405</v>
      </c>
      <c r="K1635" s="1">
        <f>IF(B1635="North",28.6,
IF(B1635="South",13,
IF(B1635="East",22.6,
IF(B1635="West",19,
23.5))))</f>
        <v>19</v>
      </c>
      <c r="L1635" s="1">
        <f>IF(B1635="North",77.2,
IF(B1635="South",80.2,
IF(B1635="East",88.4,
IF(B1635="West",72.8,
78.9))))</f>
        <v>72.8</v>
      </c>
    </row>
    <row r="1636" spans="1:12" x14ac:dyDescent="0.25">
      <c r="A1636" s="5">
        <v>45507</v>
      </c>
      <c r="B1636" s="1" t="s">
        <v>11</v>
      </c>
      <c r="C1636" s="1" t="s">
        <v>22</v>
      </c>
      <c r="D1636" s="1" t="s">
        <v>30</v>
      </c>
      <c r="E1636" s="10">
        <v>10</v>
      </c>
      <c r="F1636" s="10">
        <v>1353</v>
      </c>
      <c r="G1636" s="1" t="s">
        <v>35</v>
      </c>
      <c r="H1636" s="10">
        <f t="shared" si="52"/>
        <v>13530</v>
      </c>
      <c r="I1636" s="7">
        <v>11420.449140789889</v>
      </c>
      <c r="J1636" s="7">
        <f t="shared" si="53"/>
        <v>2109.5508592101105</v>
      </c>
      <c r="K1636" s="1">
        <f>IF(B1636="North",28.6,
IF(B1636="South",13,
IF(B1636="East",22.6,
IF(B1636="West",19,
23.5))))</f>
        <v>19</v>
      </c>
      <c r="L1636" s="1">
        <f>IF(B1636="North",77.2,
IF(B1636="South",80.2,
IF(B1636="East",88.4,
IF(B1636="West",72.8,
78.9))))</f>
        <v>72.8</v>
      </c>
    </row>
    <row r="1637" spans="1:12" x14ac:dyDescent="0.25">
      <c r="A1637" s="5">
        <v>45438</v>
      </c>
      <c r="B1637" s="1" t="s">
        <v>10</v>
      </c>
      <c r="C1637" s="1" t="s">
        <v>21</v>
      </c>
      <c r="D1637" s="1" t="s">
        <v>28</v>
      </c>
      <c r="E1637" s="10">
        <v>6</v>
      </c>
      <c r="F1637" s="10">
        <v>1041</v>
      </c>
      <c r="G1637" s="1" t="s">
        <v>35</v>
      </c>
      <c r="H1637" s="10">
        <f t="shared" si="52"/>
        <v>6246</v>
      </c>
      <c r="I1637" s="7">
        <v>5572.5385642588253</v>
      </c>
      <c r="J1637" s="7">
        <f t="shared" si="53"/>
        <v>673.46143574117468</v>
      </c>
      <c r="K1637" s="1">
        <f>IF(B1637="North",28.6,
IF(B1637="South",13,
IF(B1637="East",22.6,
IF(B1637="West",19,
23.5))))</f>
        <v>28.6</v>
      </c>
      <c r="L1637" s="1">
        <f>IF(B1637="North",77.2,
IF(B1637="South",80.2,
IF(B1637="East",88.4,
IF(B1637="West",72.8,
78.9))))</f>
        <v>77.2</v>
      </c>
    </row>
    <row r="1638" spans="1:12" x14ac:dyDescent="0.25">
      <c r="A1638" s="5">
        <v>45627</v>
      </c>
      <c r="B1638" s="1" t="s">
        <v>13</v>
      </c>
      <c r="C1638" s="1" t="s">
        <v>22</v>
      </c>
      <c r="D1638" s="1" t="s">
        <v>25</v>
      </c>
      <c r="E1638" s="10">
        <v>13</v>
      </c>
      <c r="F1638" s="10">
        <v>348</v>
      </c>
      <c r="G1638" s="1" t="s">
        <v>35</v>
      </c>
      <c r="H1638" s="10">
        <f t="shared" si="52"/>
        <v>4524</v>
      </c>
      <c r="I1638" s="7">
        <v>3268.479348612922</v>
      </c>
      <c r="J1638" s="7">
        <f t="shared" si="53"/>
        <v>1255.520651387078</v>
      </c>
      <c r="K1638" s="1">
        <f>IF(B1638="North",28.6,
IF(B1638="South",13,
IF(B1638="East",22.6,
IF(B1638="West",19,
23.5))))</f>
        <v>13</v>
      </c>
      <c r="L1638" s="1">
        <f>IF(B1638="North",77.2,
IF(B1638="South",80.2,
IF(B1638="East",88.4,
IF(B1638="West",72.8,
78.9))))</f>
        <v>80.2</v>
      </c>
    </row>
    <row r="1639" spans="1:12" x14ac:dyDescent="0.25">
      <c r="A1639" s="5">
        <v>45459</v>
      </c>
      <c r="B1639" s="1" t="s">
        <v>10</v>
      </c>
      <c r="C1639" s="1" t="s">
        <v>21</v>
      </c>
      <c r="D1639" s="1" t="s">
        <v>25</v>
      </c>
      <c r="E1639" s="10">
        <v>10</v>
      </c>
      <c r="F1639" s="10">
        <v>1369</v>
      </c>
      <c r="G1639" s="1" t="s">
        <v>35</v>
      </c>
      <c r="H1639" s="10">
        <f t="shared" si="52"/>
        <v>13690</v>
      </c>
      <c r="I1639" s="7">
        <v>9574.0977525898943</v>
      </c>
      <c r="J1639" s="7">
        <f t="shared" si="53"/>
        <v>4115.9022474101057</v>
      </c>
      <c r="K1639" s="1">
        <f>IF(B1639="North",28.6,
IF(B1639="South",13,
IF(B1639="East",22.6,
IF(B1639="West",19,
23.5))))</f>
        <v>28.6</v>
      </c>
      <c r="L1639" s="1">
        <f>IF(B1639="North",77.2,
IF(B1639="South",80.2,
IF(B1639="East",88.4,
IF(B1639="West",72.8,
78.9))))</f>
        <v>77.2</v>
      </c>
    </row>
    <row r="1640" spans="1:12" x14ac:dyDescent="0.25">
      <c r="A1640" s="5">
        <v>45383</v>
      </c>
      <c r="B1640" s="1" t="s">
        <v>11</v>
      </c>
      <c r="C1640" s="1" t="s">
        <v>24</v>
      </c>
      <c r="D1640" s="1" t="s">
        <v>28</v>
      </c>
      <c r="E1640" s="10">
        <v>18</v>
      </c>
      <c r="F1640" s="10">
        <v>1039</v>
      </c>
      <c r="G1640" s="1" t="s">
        <v>35</v>
      </c>
      <c r="H1640" s="10">
        <f t="shared" si="52"/>
        <v>18702</v>
      </c>
      <c r="I1640" s="7">
        <v>11379.329444087511</v>
      </c>
      <c r="J1640" s="7">
        <f t="shared" si="53"/>
        <v>7322.6705559124894</v>
      </c>
      <c r="K1640" s="1">
        <f>IF(B1640="North",28.6,
IF(B1640="South",13,
IF(B1640="East",22.6,
IF(B1640="West",19,
23.5))))</f>
        <v>19</v>
      </c>
      <c r="L1640" s="1">
        <f>IF(B1640="North",77.2,
IF(B1640="South",80.2,
IF(B1640="East",88.4,
IF(B1640="West",72.8,
78.9))))</f>
        <v>72.8</v>
      </c>
    </row>
    <row r="1641" spans="1:12" x14ac:dyDescent="0.25">
      <c r="A1641" s="5">
        <v>45644</v>
      </c>
      <c r="B1641" s="1" t="s">
        <v>10</v>
      </c>
      <c r="C1641" s="1" t="s">
        <v>18</v>
      </c>
      <c r="D1641" s="1" t="s">
        <v>31</v>
      </c>
      <c r="E1641" s="10">
        <v>16</v>
      </c>
      <c r="F1641" s="10">
        <v>1710</v>
      </c>
      <c r="G1641" s="1" t="s">
        <v>34</v>
      </c>
      <c r="H1641" s="10">
        <f t="shared" si="52"/>
        <v>27360</v>
      </c>
      <c r="I1641" s="7">
        <v>20108.745185950269</v>
      </c>
      <c r="J1641" s="7">
        <f t="shared" si="53"/>
        <v>7251.2548140497311</v>
      </c>
      <c r="K1641" s="1">
        <f>IF(B1641="North",28.6,
IF(B1641="South",13,
IF(B1641="East",22.6,
IF(B1641="West",19,
23.5))))</f>
        <v>28.6</v>
      </c>
      <c r="L1641" s="1">
        <f>IF(B1641="North",77.2,
IF(B1641="South",80.2,
IF(B1641="East",88.4,
IF(B1641="West",72.8,
78.9))))</f>
        <v>77.2</v>
      </c>
    </row>
    <row r="1642" spans="1:12" x14ac:dyDescent="0.25">
      <c r="A1642" s="5">
        <v>45350</v>
      </c>
      <c r="B1642" s="1" t="s">
        <v>11</v>
      </c>
      <c r="C1642" s="1" t="s">
        <v>19</v>
      </c>
      <c r="D1642" s="1" t="s">
        <v>32</v>
      </c>
      <c r="E1642" s="10">
        <v>6</v>
      </c>
      <c r="F1642" s="10">
        <v>256</v>
      </c>
      <c r="G1642" s="1" t="s">
        <v>35</v>
      </c>
      <c r="H1642" s="10">
        <f t="shared" si="52"/>
        <v>1536</v>
      </c>
      <c r="I1642" s="7">
        <v>1221.752011352017</v>
      </c>
      <c r="J1642" s="7">
        <f t="shared" si="53"/>
        <v>314.24798864798299</v>
      </c>
      <c r="K1642" s="1">
        <f>IF(B1642="North",28.6,
IF(B1642="South",13,
IF(B1642="East",22.6,
IF(B1642="West",19,
23.5))))</f>
        <v>19</v>
      </c>
      <c r="L1642" s="1">
        <f>IF(B1642="North",77.2,
IF(B1642="South",80.2,
IF(B1642="East",88.4,
IF(B1642="West",72.8,
78.9))))</f>
        <v>72.8</v>
      </c>
    </row>
    <row r="1643" spans="1:12" x14ac:dyDescent="0.25">
      <c r="A1643" s="5">
        <v>45350</v>
      </c>
      <c r="B1643" s="1" t="s">
        <v>11</v>
      </c>
      <c r="C1643" s="1" t="s">
        <v>24</v>
      </c>
      <c r="D1643" s="1" t="s">
        <v>29</v>
      </c>
      <c r="E1643" s="10">
        <v>13</v>
      </c>
      <c r="F1643" s="10">
        <v>834</v>
      </c>
      <c r="G1643" s="1" t="s">
        <v>35</v>
      </c>
      <c r="H1643" s="10">
        <f t="shared" si="52"/>
        <v>10842</v>
      </c>
      <c r="I1643" s="7">
        <v>9157.3981467654849</v>
      </c>
      <c r="J1643" s="7">
        <f t="shared" si="53"/>
        <v>1684.6018532345151</v>
      </c>
      <c r="K1643" s="1">
        <f>IF(B1643="North",28.6,
IF(B1643="South",13,
IF(B1643="East",22.6,
IF(B1643="West",19,
23.5))))</f>
        <v>19</v>
      </c>
      <c r="L1643" s="1">
        <f>IF(B1643="North",77.2,
IF(B1643="South",80.2,
IF(B1643="East",88.4,
IF(B1643="West",72.8,
78.9))))</f>
        <v>72.8</v>
      </c>
    </row>
    <row r="1644" spans="1:12" x14ac:dyDescent="0.25">
      <c r="A1644" s="5">
        <v>45595</v>
      </c>
      <c r="B1644" s="1" t="s">
        <v>10</v>
      </c>
      <c r="C1644" s="1" t="s">
        <v>21</v>
      </c>
      <c r="D1644" s="1" t="s">
        <v>25</v>
      </c>
      <c r="E1644" s="10">
        <v>4</v>
      </c>
      <c r="F1644" s="10">
        <v>1825</v>
      </c>
      <c r="G1644" s="1" t="s">
        <v>35</v>
      </c>
      <c r="H1644" s="10">
        <f t="shared" si="52"/>
        <v>7300</v>
      </c>
      <c r="I1644" s="7">
        <v>4965.7272882758716</v>
      </c>
      <c r="J1644" s="7">
        <f t="shared" si="53"/>
        <v>2334.2727117241284</v>
      </c>
      <c r="K1644" s="1">
        <f>IF(B1644="North",28.6,
IF(B1644="South",13,
IF(B1644="East",22.6,
IF(B1644="West",19,
23.5))))</f>
        <v>28.6</v>
      </c>
      <c r="L1644" s="1">
        <f>IF(B1644="North",77.2,
IF(B1644="South",80.2,
IF(B1644="East",88.4,
IF(B1644="West",72.8,
78.9))))</f>
        <v>77.2</v>
      </c>
    </row>
    <row r="1645" spans="1:12" x14ac:dyDescent="0.25">
      <c r="A1645" s="5">
        <v>45460</v>
      </c>
      <c r="B1645" s="1" t="s">
        <v>13</v>
      </c>
      <c r="C1645" s="1" t="s">
        <v>19</v>
      </c>
      <c r="D1645" s="1" t="s">
        <v>29</v>
      </c>
      <c r="E1645" s="10">
        <v>14</v>
      </c>
      <c r="F1645" s="10">
        <v>1084</v>
      </c>
      <c r="G1645" s="1" t="s">
        <v>35</v>
      </c>
      <c r="H1645" s="10">
        <f t="shared" si="52"/>
        <v>15176</v>
      </c>
      <c r="I1645" s="7">
        <v>11443.878363054109</v>
      </c>
      <c r="J1645" s="7">
        <f t="shared" si="53"/>
        <v>3732.1216369458907</v>
      </c>
      <c r="K1645" s="1">
        <f>IF(B1645="North",28.6,
IF(B1645="South",13,
IF(B1645="East",22.6,
IF(B1645="West",19,
23.5))))</f>
        <v>13</v>
      </c>
      <c r="L1645" s="1">
        <f>IF(B1645="North",77.2,
IF(B1645="South",80.2,
IF(B1645="East",88.4,
IF(B1645="West",72.8,
78.9))))</f>
        <v>80.2</v>
      </c>
    </row>
    <row r="1646" spans="1:12" x14ac:dyDescent="0.25">
      <c r="A1646" s="5">
        <v>45560</v>
      </c>
      <c r="B1646" s="1" t="s">
        <v>12</v>
      </c>
      <c r="C1646" s="1" t="s">
        <v>19</v>
      </c>
      <c r="D1646" s="1" t="s">
        <v>28</v>
      </c>
      <c r="E1646" s="10">
        <v>1</v>
      </c>
      <c r="F1646" s="10">
        <v>1687</v>
      </c>
      <c r="G1646" s="1" t="s">
        <v>35</v>
      </c>
      <c r="H1646" s="10">
        <f t="shared" si="52"/>
        <v>1687</v>
      </c>
      <c r="I1646" s="7">
        <v>1347.2430406511689</v>
      </c>
      <c r="J1646" s="7">
        <f t="shared" si="53"/>
        <v>339.75695934883106</v>
      </c>
      <c r="K1646" s="1">
        <f>IF(B1646="North",28.6,
IF(B1646="South",13,
IF(B1646="East",22.6,
IF(B1646="West",19,
23.5))))</f>
        <v>22.6</v>
      </c>
      <c r="L1646" s="1">
        <f>IF(B1646="North",77.2,
IF(B1646="South",80.2,
IF(B1646="East",88.4,
IF(B1646="West",72.8,
78.9))))</f>
        <v>88.4</v>
      </c>
    </row>
    <row r="1647" spans="1:12" x14ac:dyDescent="0.25">
      <c r="A1647" s="5">
        <v>45654</v>
      </c>
      <c r="B1647" s="1" t="s">
        <v>10</v>
      </c>
      <c r="C1647" s="1" t="s">
        <v>23</v>
      </c>
      <c r="D1647" s="1" t="s">
        <v>29</v>
      </c>
      <c r="E1647" s="10">
        <v>5</v>
      </c>
      <c r="F1647" s="10">
        <v>1211</v>
      </c>
      <c r="G1647" s="1" t="s">
        <v>34</v>
      </c>
      <c r="H1647" s="10">
        <f t="shared" si="52"/>
        <v>6055</v>
      </c>
      <c r="I1647" s="7">
        <v>4634.9866060601062</v>
      </c>
      <c r="J1647" s="7">
        <f t="shared" si="53"/>
        <v>1420.0133939398938</v>
      </c>
      <c r="K1647" s="1">
        <f>IF(B1647="North",28.6,
IF(B1647="South",13,
IF(B1647="East",22.6,
IF(B1647="West",19,
23.5))))</f>
        <v>28.6</v>
      </c>
      <c r="L1647" s="1">
        <f>IF(B1647="North",77.2,
IF(B1647="South",80.2,
IF(B1647="East",88.4,
IF(B1647="West",72.8,
78.9))))</f>
        <v>77.2</v>
      </c>
    </row>
    <row r="1648" spans="1:12" x14ac:dyDescent="0.25">
      <c r="A1648" s="5">
        <v>45336</v>
      </c>
      <c r="B1648" s="1" t="s">
        <v>12</v>
      </c>
      <c r="C1648" s="1" t="s">
        <v>20</v>
      </c>
      <c r="D1648" s="1" t="s">
        <v>26</v>
      </c>
      <c r="E1648" s="10">
        <v>8</v>
      </c>
      <c r="F1648" s="10">
        <v>1436</v>
      </c>
      <c r="G1648" s="1" t="s">
        <v>33</v>
      </c>
      <c r="H1648" s="10">
        <f t="shared" si="52"/>
        <v>11488</v>
      </c>
      <c r="I1648" s="7">
        <v>7837.1850004556582</v>
      </c>
      <c r="J1648" s="7">
        <f t="shared" si="53"/>
        <v>3650.8149995443418</v>
      </c>
      <c r="K1648" s="1">
        <f>IF(B1648="North",28.6,
IF(B1648="South",13,
IF(B1648="East",22.6,
IF(B1648="West",19,
23.5))))</f>
        <v>22.6</v>
      </c>
      <c r="L1648" s="1">
        <f>IF(B1648="North",77.2,
IF(B1648="South",80.2,
IF(B1648="East",88.4,
IF(B1648="West",72.8,
78.9))))</f>
        <v>88.4</v>
      </c>
    </row>
    <row r="1649" spans="1:12" x14ac:dyDescent="0.25">
      <c r="A1649" s="5">
        <v>45636</v>
      </c>
      <c r="B1649" s="1" t="s">
        <v>10</v>
      </c>
      <c r="C1649" s="1" t="s">
        <v>24</v>
      </c>
      <c r="D1649" s="1" t="s">
        <v>31</v>
      </c>
      <c r="E1649" s="10">
        <v>12</v>
      </c>
      <c r="F1649" s="10">
        <v>1974</v>
      </c>
      <c r="G1649" s="1" t="s">
        <v>35</v>
      </c>
      <c r="H1649" s="10">
        <f t="shared" si="52"/>
        <v>23688</v>
      </c>
      <c r="I1649" s="7">
        <v>19871.501519500031</v>
      </c>
      <c r="J1649" s="7">
        <f t="shared" si="53"/>
        <v>3816.4984804999694</v>
      </c>
      <c r="K1649" s="1">
        <f>IF(B1649="North",28.6,
IF(B1649="South",13,
IF(B1649="East",22.6,
IF(B1649="West",19,
23.5))))</f>
        <v>28.6</v>
      </c>
      <c r="L1649" s="1">
        <f>IF(B1649="North",77.2,
IF(B1649="South",80.2,
IF(B1649="East",88.4,
IF(B1649="West",72.8,
78.9))))</f>
        <v>77.2</v>
      </c>
    </row>
    <row r="1650" spans="1:12" x14ac:dyDescent="0.25">
      <c r="A1650" s="5">
        <v>45472</v>
      </c>
      <c r="B1650" s="1" t="s">
        <v>12</v>
      </c>
      <c r="C1650" s="1" t="s">
        <v>20</v>
      </c>
      <c r="D1650" s="1" t="s">
        <v>30</v>
      </c>
      <c r="E1650" s="10">
        <v>2</v>
      </c>
      <c r="F1650" s="10">
        <v>1189</v>
      </c>
      <c r="G1650" s="1" t="s">
        <v>33</v>
      </c>
      <c r="H1650" s="10">
        <f t="shared" si="52"/>
        <v>2378</v>
      </c>
      <c r="I1650" s="7">
        <v>1550.4757462974781</v>
      </c>
      <c r="J1650" s="7">
        <f t="shared" si="53"/>
        <v>827.52425370252195</v>
      </c>
      <c r="K1650" s="1">
        <f>IF(B1650="North",28.6,
IF(B1650="South",13,
IF(B1650="East",22.6,
IF(B1650="West",19,
23.5))))</f>
        <v>22.6</v>
      </c>
      <c r="L1650" s="1">
        <f>IF(B1650="North",77.2,
IF(B1650="South",80.2,
IF(B1650="East",88.4,
IF(B1650="West",72.8,
78.9))))</f>
        <v>88.4</v>
      </c>
    </row>
    <row r="1651" spans="1:12" x14ac:dyDescent="0.25">
      <c r="A1651" s="5">
        <v>45461</v>
      </c>
      <c r="B1651" s="1" t="s">
        <v>13</v>
      </c>
      <c r="C1651" s="1" t="s">
        <v>19</v>
      </c>
      <c r="D1651" s="1" t="s">
        <v>31</v>
      </c>
      <c r="E1651" s="10">
        <v>12</v>
      </c>
      <c r="F1651" s="10">
        <v>761</v>
      </c>
      <c r="G1651" s="1" t="s">
        <v>35</v>
      </c>
      <c r="H1651" s="10">
        <f t="shared" si="52"/>
        <v>9132</v>
      </c>
      <c r="I1651" s="7">
        <v>7958.4827526411236</v>
      </c>
      <c r="J1651" s="7">
        <f t="shared" si="53"/>
        <v>1173.5172473588764</v>
      </c>
      <c r="K1651" s="1">
        <f>IF(B1651="North",28.6,
IF(B1651="South",13,
IF(B1651="East",22.6,
IF(B1651="West",19,
23.5))))</f>
        <v>13</v>
      </c>
      <c r="L1651" s="1">
        <f>IF(B1651="North",77.2,
IF(B1651="South",80.2,
IF(B1651="East",88.4,
IF(B1651="West",72.8,
78.9))))</f>
        <v>80.2</v>
      </c>
    </row>
    <row r="1652" spans="1:12" x14ac:dyDescent="0.25">
      <c r="A1652" s="5">
        <v>45647</v>
      </c>
      <c r="B1652" s="1" t="s">
        <v>13</v>
      </c>
      <c r="C1652" s="1" t="s">
        <v>22</v>
      </c>
      <c r="D1652" s="1" t="s">
        <v>36</v>
      </c>
      <c r="E1652" s="10">
        <v>5</v>
      </c>
      <c r="F1652" s="10">
        <v>1143</v>
      </c>
      <c r="G1652" s="1" t="s">
        <v>35</v>
      </c>
      <c r="H1652" s="10">
        <f t="shared" si="52"/>
        <v>5715</v>
      </c>
      <c r="I1652" s="7">
        <v>5062.2271262544746</v>
      </c>
      <c r="J1652" s="7">
        <f t="shared" si="53"/>
        <v>652.77287374552543</v>
      </c>
      <c r="K1652" s="1">
        <f>IF(B1652="North",28.6,
IF(B1652="South",13,
IF(B1652="East",22.6,
IF(B1652="West",19,
23.5))))</f>
        <v>13</v>
      </c>
      <c r="L1652" s="1">
        <f>IF(B1652="North",77.2,
IF(B1652="South",80.2,
IF(B1652="East",88.4,
IF(B1652="West",72.8,
78.9))))</f>
        <v>80.2</v>
      </c>
    </row>
    <row r="1653" spans="1:12" x14ac:dyDescent="0.25">
      <c r="A1653" s="5">
        <v>45482</v>
      </c>
      <c r="B1653" s="1" t="s">
        <v>10</v>
      </c>
      <c r="C1653" s="1" t="s">
        <v>19</v>
      </c>
      <c r="D1653" s="1" t="s">
        <v>32</v>
      </c>
      <c r="E1653" s="10">
        <v>5</v>
      </c>
      <c r="F1653" s="10">
        <v>132</v>
      </c>
      <c r="G1653" s="1" t="s">
        <v>35</v>
      </c>
      <c r="H1653" s="10">
        <f t="shared" si="52"/>
        <v>660</v>
      </c>
      <c r="I1653" s="7">
        <v>468.38350589090192</v>
      </c>
      <c r="J1653" s="7">
        <f t="shared" si="53"/>
        <v>191.61649410909808</v>
      </c>
      <c r="K1653" s="1">
        <f>IF(B1653="North",28.6,
IF(B1653="South",13,
IF(B1653="East",22.6,
IF(B1653="West",19,
23.5))))</f>
        <v>28.6</v>
      </c>
      <c r="L1653" s="1">
        <f>IF(B1653="North",77.2,
IF(B1653="South",80.2,
IF(B1653="East",88.4,
IF(B1653="West",72.8,
78.9))))</f>
        <v>77.2</v>
      </c>
    </row>
    <row r="1654" spans="1:12" x14ac:dyDescent="0.25">
      <c r="A1654" s="5">
        <v>45446</v>
      </c>
      <c r="B1654" s="1" t="s">
        <v>11</v>
      </c>
      <c r="C1654" s="1" t="s">
        <v>20</v>
      </c>
      <c r="D1654" s="1" t="s">
        <v>32</v>
      </c>
      <c r="E1654" s="10">
        <v>13</v>
      </c>
      <c r="F1654" s="10">
        <v>1963</v>
      </c>
      <c r="G1654" s="1" t="s">
        <v>33</v>
      </c>
      <c r="H1654" s="10">
        <f t="shared" si="52"/>
        <v>25519</v>
      </c>
      <c r="I1654" s="7">
        <v>18191.334933423299</v>
      </c>
      <c r="J1654" s="7">
        <f t="shared" si="53"/>
        <v>7327.6650665767011</v>
      </c>
      <c r="K1654" s="1">
        <f>IF(B1654="North",28.6,
IF(B1654="South",13,
IF(B1654="East",22.6,
IF(B1654="West",19,
23.5))))</f>
        <v>19</v>
      </c>
      <c r="L1654" s="1">
        <f>IF(B1654="North",77.2,
IF(B1654="South",80.2,
IF(B1654="East",88.4,
IF(B1654="West",72.8,
78.9))))</f>
        <v>72.8</v>
      </c>
    </row>
    <row r="1655" spans="1:12" x14ac:dyDescent="0.25">
      <c r="A1655" s="5">
        <v>45479</v>
      </c>
      <c r="B1655" s="1" t="s">
        <v>36</v>
      </c>
      <c r="C1655" s="1" t="s">
        <v>24</v>
      </c>
      <c r="D1655" s="1" t="s">
        <v>31</v>
      </c>
      <c r="E1655" s="10">
        <v>9</v>
      </c>
      <c r="F1655" s="10">
        <v>1916</v>
      </c>
      <c r="G1655" s="1" t="s">
        <v>35</v>
      </c>
      <c r="H1655" s="10">
        <f t="shared" si="52"/>
        <v>17244</v>
      </c>
      <c r="I1655" s="7">
        <v>14191.527089030429</v>
      </c>
      <c r="J1655" s="7">
        <f t="shared" si="53"/>
        <v>3052.4729109695709</v>
      </c>
      <c r="K1655" s="1">
        <f>IF(B1655="North",28.6,
IF(B1655="South",13,
IF(B1655="East",22.6,
IF(B1655="West",19,
23.5))))</f>
        <v>23.5</v>
      </c>
      <c r="L1655" s="1">
        <f>IF(B1655="North",77.2,
IF(B1655="South",80.2,
IF(B1655="East",88.4,
IF(B1655="West",72.8,
78.9))))</f>
        <v>78.900000000000006</v>
      </c>
    </row>
    <row r="1656" spans="1:12" x14ac:dyDescent="0.25">
      <c r="A1656" s="5">
        <v>45298</v>
      </c>
      <c r="B1656" s="1" t="s">
        <v>11</v>
      </c>
      <c r="C1656" s="1" t="s">
        <v>21</v>
      </c>
      <c r="D1656" s="1" t="s">
        <v>28</v>
      </c>
      <c r="E1656" s="10">
        <v>10</v>
      </c>
      <c r="F1656" s="10">
        <v>657</v>
      </c>
      <c r="G1656" s="1" t="s">
        <v>35</v>
      </c>
      <c r="H1656" s="10">
        <f t="shared" si="52"/>
        <v>6570</v>
      </c>
      <c r="I1656" s="7">
        <v>4841.3448277459938</v>
      </c>
      <c r="J1656" s="7">
        <f t="shared" si="53"/>
        <v>1728.6551722540062</v>
      </c>
      <c r="K1656" s="1">
        <f>IF(B1656="North",28.6,
IF(B1656="South",13,
IF(B1656="East",22.6,
IF(B1656="West",19,
23.5))))</f>
        <v>19</v>
      </c>
      <c r="L1656" s="1">
        <f>IF(B1656="North",77.2,
IF(B1656="South",80.2,
IF(B1656="East",88.4,
IF(B1656="West",72.8,
78.9))))</f>
        <v>72.8</v>
      </c>
    </row>
    <row r="1657" spans="1:12" x14ac:dyDescent="0.25">
      <c r="A1657" s="5">
        <v>45424</v>
      </c>
      <c r="B1657" s="1" t="s">
        <v>11</v>
      </c>
      <c r="C1657" s="1" t="s">
        <v>23</v>
      </c>
      <c r="D1657" s="1" t="s">
        <v>28</v>
      </c>
      <c r="E1657" s="10">
        <v>1</v>
      </c>
      <c r="F1657" s="10">
        <v>172</v>
      </c>
      <c r="G1657" s="1" t="s">
        <v>34</v>
      </c>
      <c r="H1657" s="10">
        <f t="shared" si="52"/>
        <v>172</v>
      </c>
      <c r="I1657" s="7">
        <v>104.6762834097205</v>
      </c>
      <c r="J1657" s="7">
        <f t="shared" si="53"/>
        <v>67.323716590279503</v>
      </c>
      <c r="K1657" s="1">
        <f>IF(B1657="North",28.6,
IF(B1657="South",13,
IF(B1657="East",22.6,
IF(B1657="West",19,
23.5))))</f>
        <v>19</v>
      </c>
      <c r="L1657" s="1">
        <f>IF(B1657="North",77.2,
IF(B1657="South",80.2,
IF(B1657="East",88.4,
IF(B1657="West",72.8,
78.9))))</f>
        <v>72.8</v>
      </c>
    </row>
    <row r="1658" spans="1:12" x14ac:dyDescent="0.25">
      <c r="A1658" s="5">
        <v>45526</v>
      </c>
      <c r="B1658" s="1" t="s">
        <v>11</v>
      </c>
      <c r="C1658" s="1" t="s">
        <v>23</v>
      </c>
      <c r="D1658" s="1" t="s">
        <v>26</v>
      </c>
      <c r="E1658" s="10">
        <v>3</v>
      </c>
      <c r="F1658" s="10">
        <v>1989</v>
      </c>
      <c r="G1658" s="1" t="s">
        <v>34</v>
      </c>
      <c r="H1658" s="10">
        <f t="shared" si="52"/>
        <v>5967</v>
      </c>
      <c r="I1658" s="7">
        <v>5226.8713302114493</v>
      </c>
      <c r="J1658" s="7">
        <f t="shared" si="53"/>
        <v>740.12866978855072</v>
      </c>
      <c r="K1658" s="1">
        <f>IF(B1658="North",28.6,
IF(B1658="South",13,
IF(B1658="East",22.6,
IF(B1658="West",19,
23.5))))</f>
        <v>19</v>
      </c>
      <c r="L1658" s="1">
        <f>IF(B1658="North",77.2,
IF(B1658="South",80.2,
IF(B1658="East",88.4,
IF(B1658="West",72.8,
78.9))))</f>
        <v>72.8</v>
      </c>
    </row>
    <row r="1659" spans="1:12" x14ac:dyDescent="0.25">
      <c r="A1659" s="5">
        <v>45336</v>
      </c>
      <c r="B1659" s="1" t="s">
        <v>13</v>
      </c>
      <c r="C1659" s="1" t="s">
        <v>23</v>
      </c>
      <c r="D1659" s="1" t="s">
        <v>26</v>
      </c>
      <c r="E1659" s="10">
        <v>18</v>
      </c>
      <c r="F1659" s="10">
        <v>924</v>
      </c>
      <c r="G1659" s="1" t="s">
        <v>34</v>
      </c>
      <c r="H1659" s="10">
        <f t="shared" si="52"/>
        <v>16632</v>
      </c>
      <c r="I1659" s="7">
        <v>12128.471906272371</v>
      </c>
      <c r="J1659" s="7">
        <f t="shared" si="53"/>
        <v>4503.5280937276293</v>
      </c>
      <c r="K1659" s="1">
        <f>IF(B1659="North",28.6,
IF(B1659="South",13,
IF(B1659="East",22.6,
IF(B1659="West",19,
23.5))))</f>
        <v>13</v>
      </c>
      <c r="L1659" s="1">
        <f>IF(B1659="North",77.2,
IF(B1659="South",80.2,
IF(B1659="East",88.4,
IF(B1659="West",72.8,
78.9))))</f>
        <v>80.2</v>
      </c>
    </row>
    <row r="1660" spans="1:12" x14ac:dyDescent="0.25">
      <c r="A1660" s="5">
        <v>45605</v>
      </c>
      <c r="B1660" s="1" t="s">
        <v>10</v>
      </c>
      <c r="C1660" s="1" t="s">
        <v>21</v>
      </c>
      <c r="D1660" s="1" t="s">
        <v>32</v>
      </c>
      <c r="E1660" s="10">
        <v>12</v>
      </c>
      <c r="F1660" s="10">
        <v>1466</v>
      </c>
      <c r="G1660" s="1" t="s">
        <v>35</v>
      </c>
      <c r="H1660" s="10">
        <f t="shared" si="52"/>
        <v>17592</v>
      </c>
      <c r="I1660" s="7">
        <v>11629.165742611551</v>
      </c>
      <c r="J1660" s="7">
        <f t="shared" si="53"/>
        <v>5962.8342573884493</v>
      </c>
      <c r="K1660" s="1">
        <f>IF(B1660="North",28.6,
IF(B1660="South",13,
IF(B1660="East",22.6,
IF(B1660="West",19,
23.5))))</f>
        <v>28.6</v>
      </c>
      <c r="L1660" s="1">
        <f>IF(B1660="North",77.2,
IF(B1660="South",80.2,
IF(B1660="East",88.4,
IF(B1660="West",72.8,
78.9))))</f>
        <v>77.2</v>
      </c>
    </row>
    <row r="1661" spans="1:12" x14ac:dyDescent="0.25">
      <c r="A1661" s="5">
        <v>45540</v>
      </c>
      <c r="B1661" s="1" t="s">
        <v>10</v>
      </c>
      <c r="C1661" s="1" t="s">
        <v>23</v>
      </c>
      <c r="D1661" s="1" t="s">
        <v>26</v>
      </c>
      <c r="E1661" s="10">
        <v>3</v>
      </c>
      <c r="F1661" s="10">
        <v>1256</v>
      </c>
      <c r="G1661" s="1" t="s">
        <v>34</v>
      </c>
      <c r="H1661" s="10">
        <f t="shared" si="52"/>
        <v>3768</v>
      </c>
      <c r="I1661" s="7">
        <v>2888.9226682873882</v>
      </c>
      <c r="J1661" s="7">
        <f t="shared" si="53"/>
        <v>879.07733171261179</v>
      </c>
      <c r="K1661" s="1">
        <f>IF(B1661="North",28.6,
IF(B1661="South",13,
IF(B1661="East",22.6,
IF(B1661="West",19,
23.5))))</f>
        <v>28.6</v>
      </c>
      <c r="L1661" s="1">
        <f>IF(B1661="North",77.2,
IF(B1661="South",80.2,
IF(B1661="East",88.4,
IF(B1661="West",72.8,
78.9))))</f>
        <v>77.2</v>
      </c>
    </row>
    <row r="1662" spans="1:12" x14ac:dyDescent="0.25">
      <c r="A1662" s="5">
        <v>45322</v>
      </c>
      <c r="B1662" s="1" t="s">
        <v>13</v>
      </c>
      <c r="C1662" s="1" t="s">
        <v>24</v>
      </c>
      <c r="D1662" s="1" t="s">
        <v>25</v>
      </c>
      <c r="E1662" s="10">
        <v>9</v>
      </c>
      <c r="F1662" s="10">
        <v>1178</v>
      </c>
      <c r="G1662" s="1" t="s">
        <v>35</v>
      </c>
      <c r="H1662" s="10">
        <f t="shared" si="52"/>
        <v>10602</v>
      </c>
      <c r="I1662" s="7">
        <v>7057.4529407379414</v>
      </c>
      <c r="J1662" s="7">
        <f t="shared" si="53"/>
        <v>3544.5470592620586</v>
      </c>
      <c r="K1662" s="1">
        <f>IF(B1662="North",28.6,
IF(B1662="South",13,
IF(B1662="East",22.6,
IF(B1662="West",19,
23.5))))</f>
        <v>13</v>
      </c>
      <c r="L1662" s="1">
        <f>IF(B1662="North",77.2,
IF(B1662="South",80.2,
IF(B1662="East",88.4,
IF(B1662="West",72.8,
78.9))))</f>
        <v>80.2</v>
      </c>
    </row>
    <row r="1663" spans="1:12" x14ac:dyDescent="0.25">
      <c r="A1663" s="5">
        <v>45314</v>
      </c>
      <c r="B1663" s="1" t="s">
        <v>13</v>
      </c>
      <c r="C1663" s="1" t="s">
        <v>40</v>
      </c>
      <c r="D1663" s="1" t="s">
        <v>25</v>
      </c>
      <c r="E1663" s="10">
        <v>2</v>
      </c>
      <c r="F1663" s="10">
        <v>160</v>
      </c>
      <c r="G1663" s="1" t="s">
        <v>35</v>
      </c>
      <c r="H1663" s="10">
        <f t="shared" si="52"/>
        <v>320</v>
      </c>
      <c r="I1663" s="7">
        <v>211.77811196943429</v>
      </c>
      <c r="J1663" s="7">
        <f t="shared" si="53"/>
        <v>108.22188803056571</v>
      </c>
      <c r="K1663" s="1">
        <f>IF(B1663="North",28.6,
IF(B1663="South",13,
IF(B1663="East",22.6,
IF(B1663="West",19,
23.5))))</f>
        <v>13</v>
      </c>
      <c r="L1663" s="1">
        <f>IF(B1663="North",77.2,
IF(B1663="South",80.2,
IF(B1663="East",88.4,
IF(B1663="West",72.8,
78.9))))</f>
        <v>80.2</v>
      </c>
    </row>
    <row r="1664" spans="1:12" x14ac:dyDescent="0.25">
      <c r="A1664" s="5">
        <v>45451</v>
      </c>
      <c r="B1664" s="1" t="s">
        <v>10</v>
      </c>
      <c r="C1664" s="1" t="s">
        <v>23</v>
      </c>
      <c r="D1664" s="1" t="s">
        <v>30</v>
      </c>
      <c r="E1664" s="10">
        <v>3</v>
      </c>
      <c r="F1664" s="10">
        <v>1980</v>
      </c>
      <c r="G1664" s="1" t="s">
        <v>34</v>
      </c>
      <c r="H1664" s="10">
        <f t="shared" si="52"/>
        <v>5940</v>
      </c>
      <c r="I1664" s="7">
        <v>4536.4932254101077</v>
      </c>
      <c r="J1664" s="7">
        <f t="shared" si="53"/>
        <v>1403.5067745898923</v>
      </c>
      <c r="K1664" s="1">
        <f>IF(B1664="North",28.6,
IF(B1664="South",13,
IF(B1664="East",22.6,
IF(B1664="West",19,
23.5))))</f>
        <v>28.6</v>
      </c>
      <c r="L1664" s="1">
        <f>IF(B1664="North",77.2,
IF(B1664="South",80.2,
IF(B1664="East",88.4,
IF(B1664="West",72.8,
78.9))))</f>
        <v>77.2</v>
      </c>
    </row>
    <row r="1665" spans="1:12" x14ac:dyDescent="0.25">
      <c r="A1665" s="5">
        <v>45654</v>
      </c>
      <c r="B1665" s="1" t="s">
        <v>11</v>
      </c>
      <c r="C1665" s="1" t="s">
        <v>21</v>
      </c>
      <c r="D1665" s="1" t="s">
        <v>26</v>
      </c>
      <c r="E1665" s="10">
        <v>14</v>
      </c>
      <c r="F1665" s="10">
        <v>1643</v>
      </c>
      <c r="G1665" s="1" t="s">
        <v>35</v>
      </c>
      <c r="H1665" s="10">
        <f t="shared" si="52"/>
        <v>23002</v>
      </c>
      <c r="I1665" s="7">
        <v>16499.626441482651</v>
      </c>
      <c r="J1665" s="7">
        <f t="shared" si="53"/>
        <v>6502.373558517349</v>
      </c>
      <c r="K1665" s="1">
        <f>IF(B1665="North",28.6,
IF(B1665="South",13,
IF(B1665="East",22.6,
IF(B1665="West",19,
23.5))))</f>
        <v>19</v>
      </c>
      <c r="L1665" s="1">
        <f>IF(B1665="North",77.2,
IF(B1665="South",80.2,
IF(B1665="East",88.4,
IF(B1665="West",72.8,
78.9))))</f>
        <v>72.8</v>
      </c>
    </row>
    <row r="1666" spans="1:12" x14ac:dyDescent="0.25">
      <c r="A1666" s="5">
        <v>45449</v>
      </c>
      <c r="B1666" s="1" t="s">
        <v>12</v>
      </c>
      <c r="C1666" s="1" t="s">
        <v>20</v>
      </c>
      <c r="D1666" s="1" t="s">
        <v>30</v>
      </c>
      <c r="E1666" s="10">
        <v>4</v>
      </c>
      <c r="F1666" s="10">
        <v>371</v>
      </c>
      <c r="G1666" s="1" t="s">
        <v>33</v>
      </c>
      <c r="H1666" s="10">
        <f t="shared" si="52"/>
        <v>1484</v>
      </c>
      <c r="I1666" s="7">
        <v>1145.4966074783349</v>
      </c>
      <c r="J1666" s="7">
        <f t="shared" si="53"/>
        <v>338.50339252166509</v>
      </c>
      <c r="K1666" s="1">
        <f>IF(B1666="North",28.6,
IF(B1666="South",13,
IF(B1666="East",22.6,
IF(B1666="West",19,
23.5))))</f>
        <v>22.6</v>
      </c>
      <c r="L1666" s="1">
        <f>IF(B1666="North",77.2,
IF(B1666="South",80.2,
IF(B1666="East",88.4,
IF(B1666="West",72.8,
78.9))))</f>
        <v>88.4</v>
      </c>
    </row>
    <row r="1667" spans="1:12" x14ac:dyDescent="0.25">
      <c r="A1667" s="5">
        <v>45330</v>
      </c>
      <c r="B1667" s="1" t="s">
        <v>12</v>
      </c>
      <c r="C1667" s="1" t="s">
        <v>18</v>
      </c>
      <c r="D1667" s="1" t="s">
        <v>26</v>
      </c>
      <c r="E1667" s="10">
        <v>19</v>
      </c>
      <c r="F1667" s="10">
        <v>345</v>
      </c>
      <c r="G1667" s="1" t="s">
        <v>34</v>
      </c>
      <c r="H1667" s="10">
        <f t="shared" ref="H1667:H1730" si="54">E1667*F1667</f>
        <v>6555</v>
      </c>
      <c r="I1667" s="7">
        <v>5893.2572214893044</v>
      </c>
      <c r="J1667" s="7">
        <f t="shared" ref="J1667:J1730" si="55">H1667-I1667</f>
        <v>661.74277851069564</v>
      </c>
      <c r="K1667" s="1">
        <f>IF(B1667="North",28.6,
IF(B1667="South",13,
IF(B1667="East",22.6,
IF(B1667="West",19,
23.5))))</f>
        <v>22.6</v>
      </c>
      <c r="L1667" s="1">
        <f>IF(B1667="North",77.2,
IF(B1667="South",80.2,
IF(B1667="East",88.4,
IF(B1667="West",72.8,
78.9))))</f>
        <v>88.4</v>
      </c>
    </row>
    <row r="1668" spans="1:12" x14ac:dyDescent="0.25">
      <c r="A1668" s="5">
        <v>45373</v>
      </c>
      <c r="B1668" s="1" t="s">
        <v>12</v>
      </c>
      <c r="C1668" s="1" t="s">
        <v>18</v>
      </c>
      <c r="D1668" s="1" t="s">
        <v>32</v>
      </c>
      <c r="E1668" s="10">
        <v>13</v>
      </c>
      <c r="F1668" s="10">
        <v>1299</v>
      </c>
      <c r="G1668" s="1" t="s">
        <v>34</v>
      </c>
      <c r="H1668" s="10">
        <f t="shared" si="54"/>
        <v>16887</v>
      </c>
      <c r="I1668" s="7">
        <v>14484.07187185775</v>
      </c>
      <c r="J1668" s="7">
        <f t="shared" si="55"/>
        <v>2402.92812814225</v>
      </c>
      <c r="K1668" s="1">
        <f>IF(B1668="North",28.6,
IF(B1668="South",13,
IF(B1668="East",22.6,
IF(B1668="West",19,
23.5))))</f>
        <v>22.6</v>
      </c>
      <c r="L1668" s="1">
        <f>IF(B1668="North",77.2,
IF(B1668="South",80.2,
IF(B1668="East",88.4,
IF(B1668="West",72.8,
78.9))))</f>
        <v>88.4</v>
      </c>
    </row>
    <row r="1669" spans="1:12" x14ac:dyDescent="0.25">
      <c r="A1669" s="5">
        <v>45647</v>
      </c>
      <c r="B1669" s="1" t="s">
        <v>11</v>
      </c>
      <c r="C1669" s="1" t="s">
        <v>24</v>
      </c>
      <c r="D1669" s="1" t="s">
        <v>32</v>
      </c>
      <c r="E1669" s="10">
        <v>7</v>
      </c>
      <c r="F1669" s="10">
        <v>727</v>
      </c>
      <c r="G1669" s="1" t="s">
        <v>35</v>
      </c>
      <c r="H1669" s="10">
        <f t="shared" si="54"/>
        <v>5089</v>
      </c>
      <c r="I1669" s="7">
        <v>3065.1110092757199</v>
      </c>
      <c r="J1669" s="7">
        <f t="shared" si="55"/>
        <v>2023.8889907242801</v>
      </c>
      <c r="K1669" s="1">
        <f>IF(B1669="North",28.6,
IF(B1669="South",13,
IF(B1669="East",22.6,
IF(B1669="West",19,
23.5))))</f>
        <v>19</v>
      </c>
      <c r="L1669" s="1">
        <f>IF(B1669="North",77.2,
IF(B1669="South",80.2,
IF(B1669="East",88.4,
IF(B1669="West",72.8,
78.9))))</f>
        <v>72.8</v>
      </c>
    </row>
    <row r="1670" spans="1:12" x14ac:dyDescent="0.25">
      <c r="A1670" s="5">
        <v>45549</v>
      </c>
      <c r="B1670" s="1" t="s">
        <v>10</v>
      </c>
      <c r="C1670" s="1" t="s">
        <v>17</v>
      </c>
      <c r="D1670" s="1" t="s">
        <v>30</v>
      </c>
      <c r="E1670" s="10">
        <v>12</v>
      </c>
      <c r="F1670" s="10">
        <v>1073.5</v>
      </c>
      <c r="G1670" s="1" t="s">
        <v>33</v>
      </c>
      <c r="H1670" s="10">
        <f t="shared" si="54"/>
        <v>12882</v>
      </c>
      <c r="I1670" s="7">
        <f>H1670*0.7</f>
        <v>9017.4</v>
      </c>
      <c r="J1670" s="7">
        <f t="shared" si="55"/>
        <v>3864.6000000000004</v>
      </c>
      <c r="K1670" s="1">
        <f>IF(B1670="North",28.6,
IF(B1670="South",13,
IF(B1670="East",22.6,
IF(B1670="West",19,
23.5))))</f>
        <v>28.6</v>
      </c>
      <c r="L1670" s="1">
        <f>IF(B1670="North",77.2,
IF(B1670="South",80.2,
IF(B1670="East",88.4,
IF(B1670="West",72.8,
78.9))))</f>
        <v>77.2</v>
      </c>
    </row>
    <row r="1671" spans="1:12" x14ac:dyDescent="0.25">
      <c r="A1671" s="5">
        <v>45497</v>
      </c>
      <c r="B1671" s="1" t="s">
        <v>13</v>
      </c>
      <c r="C1671" s="1" t="s">
        <v>22</v>
      </c>
      <c r="D1671" s="1" t="s">
        <v>31</v>
      </c>
      <c r="E1671" s="10">
        <v>3</v>
      </c>
      <c r="F1671" s="10">
        <v>1906</v>
      </c>
      <c r="G1671" s="1" t="s">
        <v>35</v>
      </c>
      <c r="H1671" s="10">
        <f t="shared" si="54"/>
        <v>5718</v>
      </c>
      <c r="I1671" s="7">
        <v>4477.3302716011376</v>
      </c>
      <c r="J1671" s="7">
        <f t="shared" si="55"/>
        <v>1240.6697283988624</v>
      </c>
      <c r="K1671" s="1">
        <f>IF(B1671="North",28.6,
IF(B1671="South",13,
IF(B1671="East",22.6,
IF(B1671="West",19,
23.5))))</f>
        <v>13</v>
      </c>
      <c r="L1671" s="1">
        <f>IF(B1671="North",77.2,
IF(B1671="South",80.2,
IF(B1671="East",88.4,
IF(B1671="West",72.8,
78.9))))</f>
        <v>80.2</v>
      </c>
    </row>
    <row r="1672" spans="1:12" x14ac:dyDescent="0.25">
      <c r="A1672" s="5">
        <v>45368</v>
      </c>
      <c r="B1672" s="1" t="s">
        <v>10</v>
      </c>
      <c r="C1672" s="1" t="s">
        <v>23</v>
      </c>
      <c r="D1672" s="1" t="s">
        <v>32</v>
      </c>
      <c r="E1672" s="10">
        <v>9</v>
      </c>
      <c r="F1672" s="10">
        <v>804</v>
      </c>
      <c r="G1672" s="1" t="s">
        <v>34</v>
      </c>
      <c r="H1672" s="10">
        <f t="shared" si="54"/>
        <v>7236</v>
      </c>
      <c r="I1672" s="7">
        <v>5701.0767009219926</v>
      </c>
      <c r="J1672" s="7">
        <f t="shared" si="55"/>
        <v>1534.9232990780074</v>
      </c>
      <c r="K1672" s="1">
        <f>IF(B1672="North",28.6,
IF(B1672="South",13,
IF(B1672="East",22.6,
IF(B1672="West",19,
23.5))))</f>
        <v>28.6</v>
      </c>
      <c r="L1672" s="1">
        <f>IF(B1672="North",77.2,
IF(B1672="South",80.2,
IF(B1672="East",88.4,
IF(B1672="West",72.8,
78.9))))</f>
        <v>77.2</v>
      </c>
    </row>
    <row r="1673" spans="1:12" x14ac:dyDescent="0.25">
      <c r="A1673" s="5">
        <v>45303</v>
      </c>
      <c r="B1673" s="1" t="s">
        <v>11</v>
      </c>
      <c r="C1673" s="1" t="s">
        <v>22</v>
      </c>
      <c r="D1673" s="1" t="s">
        <v>31</v>
      </c>
      <c r="E1673" s="10">
        <v>2</v>
      </c>
      <c r="F1673" s="10">
        <v>761</v>
      </c>
      <c r="G1673" s="1" t="s">
        <v>35</v>
      </c>
      <c r="H1673" s="10">
        <f t="shared" si="54"/>
        <v>1522</v>
      </c>
      <c r="I1673" s="7">
        <v>1314.181939405099</v>
      </c>
      <c r="J1673" s="7">
        <f t="shared" si="55"/>
        <v>207.818060594901</v>
      </c>
      <c r="K1673" s="1">
        <f>IF(B1673="North",28.6,
IF(B1673="South",13,
IF(B1673="East",22.6,
IF(B1673="West",19,
23.5))))</f>
        <v>19</v>
      </c>
      <c r="L1673" s="1">
        <f>IF(B1673="North",77.2,
IF(B1673="South",80.2,
IF(B1673="East",88.4,
IF(B1673="West",72.8,
78.9))))</f>
        <v>72.8</v>
      </c>
    </row>
    <row r="1674" spans="1:12" x14ac:dyDescent="0.25">
      <c r="A1674" s="5">
        <v>45586</v>
      </c>
      <c r="B1674" s="1" t="s">
        <v>13</v>
      </c>
      <c r="C1674" s="1" t="s">
        <v>21</v>
      </c>
      <c r="D1674" s="1" t="s">
        <v>28</v>
      </c>
      <c r="E1674" s="10">
        <v>9</v>
      </c>
      <c r="F1674" s="10">
        <v>1254</v>
      </c>
      <c r="G1674" s="1" t="s">
        <v>35</v>
      </c>
      <c r="H1674" s="10">
        <f t="shared" si="54"/>
        <v>11286</v>
      </c>
      <c r="I1674" s="7">
        <v>8901.4617814959984</v>
      </c>
      <c r="J1674" s="7">
        <f t="shared" si="55"/>
        <v>2384.5382185040016</v>
      </c>
      <c r="K1674" s="1">
        <f>IF(B1674="North",28.6,
IF(B1674="South",13,
IF(B1674="East",22.6,
IF(B1674="West",19,
23.5))))</f>
        <v>13</v>
      </c>
      <c r="L1674" s="1">
        <f>IF(B1674="North",77.2,
IF(B1674="South",80.2,
IF(B1674="East",88.4,
IF(B1674="West",72.8,
78.9))))</f>
        <v>80.2</v>
      </c>
    </row>
    <row r="1675" spans="1:12" x14ac:dyDescent="0.25">
      <c r="A1675" s="5">
        <v>45515</v>
      </c>
      <c r="B1675" s="1" t="s">
        <v>11</v>
      </c>
      <c r="C1675" s="1" t="s">
        <v>22</v>
      </c>
      <c r="D1675" s="1" t="s">
        <v>25</v>
      </c>
      <c r="E1675" s="10">
        <v>12</v>
      </c>
      <c r="F1675" s="10">
        <v>1225</v>
      </c>
      <c r="G1675" s="1" t="s">
        <v>35</v>
      </c>
      <c r="H1675" s="10">
        <f t="shared" si="54"/>
        <v>14700</v>
      </c>
      <c r="I1675" s="7">
        <v>9824.2211148544229</v>
      </c>
      <c r="J1675" s="7">
        <f t="shared" si="55"/>
        <v>4875.7788851455771</v>
      </c>
      <c r="K1675" s="1">
        <f>IF(B1675="North",28.6,
IF(B1675="South",13,
IF(B1675="East",22.6,
IF(B1675="West",19,
23.5))))</f>
        <v>19</v>
      </c>
      <c r="L1675" s="1">
        <f>IF(B1675="North",77.2,
IF(B1675="South",80.2,
IF(B1675="East",88.4,
IF(B1675="West",72.8,
78.9))))</f>
        <v>72.8</v>
      </c>
    </row>
    <row r="1676" spans="1:12" x14ac:dyDescent="0.25">
      <c r="A1676" s="5">
        <v>45304</v>
      </c>
      <c r="B1676" s="1" t="s">
        <v>16</v>
      </c>
      <c r="C1676" s="1" t="s">
        <v>24</v>
      </c>
      <c r="D1676" s="1" t="s">
        <v>30</v>
      </c>
      <c r="E1676" s="10">
        <v>12</v>
      </c>
      <c r="F1676" s="10">
        <v>409</v>
      </c>
      <c r="G1676" s="1" t="s">
        <v>35</v>
      </c>
      <c r="H1676" s="10">
        <f t="shared" si="54"/>
        <v>4908</v>
      </c>
      <c r="I1676" s="7">
        <v>3634.6432936708561</v>
      </c>
      <c r="J1676" s="7">
        <f t="shared" si="55"/>
        <v>1273.3567063291439</v>
      </c>
      <c r="K1676" s="1">
        <f>IF(B1676="North",28.6,
IF(B1676="South",13,
IF(B1676="East",22.6,
IF(B1676="West",19,
23.5))))</f>
        <v>28.6</v>
      </c>
      <c r="L1676" s="1">
        <f>IF(B1676="North",77.2,
IF(B1676="South",80.2,
IF(B1676="East",88.4,
IF(B1676="West",72.8,
78.9))))</f>
        <v>77.2</v>
      </c>
    </row>
    <row r="1677" spans="1:12" x14ac:dyDescent="0.25">
      <c r="A1677" s="5">
        <v>45337</v>
      </c>
      <c r="B1677" s="1" t="s">
        <v>12</v>
      </c>
      <c r="C1677" s="1" t="s">
        <v>24</v>
      </c>
      <c r="D1677" s="1" t="s">
        <v>29</v>
      </c>
      <c r="E1677" s="10">
        <v>15</v>
      </c>
      <c r="F1677" s="10">
        <v>1905</v>
      </c>
      <c r="G1677" s="1" t="s">
        <v>35</v>
      </c>
      <c r="H1677" s="10">
        <f t="shared" si="54"/>
        <v>28575</v>
      </c>
      <c r="I1677" s="7">
        <v>24080.027347253759</v>
      </c>
      <c r="J1677" s="7">
        <f t="shared" si="55"/>
        <v>4494.9726527462408</v>
      </c>
      <c r="K1677" s="1">
        <f>IF(B1677="North",28.6,
IF(B1677="South",13,
IF(B1677="East",22.6,
IF(B1677="West",19,
23.5))))</f>
        <v>22.6</v>
      </c>
      <c r="L1677" s="1">
        <f>IF(B1677="North",77.2,
IF(B1677="South",80.2,
IF(B1677="East",88.4,
IF(B1677="West",72.8,
78.9))))</f>
        <v>88.4</v>
      </c>
    </row>
    <row r="1678" spans="1:12" x14ac:dyDescent="0.25">
      <c r="A1678" s="5">
        <v>45446</v>
      </c>
      <c r="B1678" s="1" t="s">
        <v>11</v>
      </c>
      <c r="C1678" s="1" t="s">
        <v>19</v>
      </c>
      <c r="D1678" s="1" t="s">
        <v>32</v>
      </c>
      <c r="E1678" s="10">
        <v>2</v>
      </c>
      <c r="F1678" s="10">
        <v>1415</v>
      </c>
      <c r="G1678" s="1" t="s">
        <v>35</v>
      </c>
      <c r="H1678" s="10">
        <f t="shared" si="54"/>
        <v>2830</v>
      </c>
      <c r="I1678" s="7">
        <v>2481.478394944018</v>
      </c>
      <c r="J1678" s="7">
        <f t="shared" si="55"/>
        <v>348.52160505598204</v>
      </c>
      <c r="K1678" s="1">
        <f>IF(B1678="North",28.6,
IF(B1678="South",13,
IF(B1678="East",22.6,
IF(B1678="West",19,
23.5))))</f>
        <v>19</v>
      </c>
      <c r="L1678" s="1">
        <f>IF(B1678="North",77.2,
IF(B1678="South",80.2,
IF(B1678="East",88.4,
IF(B1678="West",72.8,
78.9))))</f>
        <v>72.8</v>
      </c>
    </row>
    <row r="1679" spans="1:12" x14ac:dyDescent="0.25">
      <c r="A1679" s="5">
        <v>45404</v>
      </c>
      <c r="B1679" s="1" t="s">
        <v>13</v>
      </c>
      <c r="C1679" s="1" t="s">
        <v>18</v>
      </c>
      <c r="D1679" s="1" t="s">
        <v>27</v>
      </c>
      <c r="E1679" s="10">
        <v>18</v>
      </c>
      <c r="F1679" s="10">
        <v>1845</v>
      </c>
      <c r="G1679" s="1" t="s">
        <v>34</v>
      </c>
      <c r="H1679" s="10">
        <f t="shared" si="54"/>
        <v>33210</v>
      </c>
      <c r="I1679" s="7">
        <v>22286.385330265319</v>
      </c>
      <c r="J1679" s="7">
        <f t="shared" si="55"/>
        <v>10923.614669734681</v>
      </c>
      <c r="K1679" s="1">
        <f>IF(B1679="North",28.6,
IF(B1679="South",13,
IF(B1679="East",22.6,
IF(B1679="West",19,
23.5))))</f>
        <v>13</v>
      </c>
      <c r="L1679" s="1">
        <f>IF(B1679="North",77.2,
IF(B1679="South",80.2,
IF(B1679="East",88.4,
IF(B1679="West",72.8,
78.9))))</f>
        <v>80.2</v>
      </c>
    </row>
    <row r="1680" spans="1:12" x14ac:dyDescent="0.25">
      <c r="A1680" s="5">
        <v>45524</v>
      </c>
      <c r="B1680" s="1" t="s">
        <v>13</v>
      </c>
      <c r="C1680" s="1" t="s">
        <v>23</v>
      </c>
      <c r="D1680" s="1" t="s">
        <v>28</v>
      </c>
      <c r="E1680" s="10">
        <v>13</v>
      </c>
      <c r="F1680" s="10">
        <v>594</v>
      </c>
      <c r="G1680" s="1" t="s">
        <v>34</v>
      </c>
      <c r="H1680" s="10">
        <f t="shared" si="54"/>
        <v>7722</v>
      </c>
      <c r="I1680" s="7">
        <v>5883.2483291318704</v>
      </c>
      <c r="J1680" s="7">
        <f t="shared" si="55"/>
        <v>1838.7516708681296</v>
      </c>
      <c r="K1680" s="1">
        <f>IF(B1680="North",28.6,
IF(B1680="South",13,
IF(B1680="East",22.6,
IF(B1680="West",19,
23.5))))</f>
        <v>13</v>
      </c>
      <c r="L1680" s="1">
        <f>IF(B1680="North",77.2,
IF(B1680="South",80.2,
IF(B1680="East",88.4,
IF(B1680="West",72.8,
78.9))))</f>
        <v>80.2</v>
      </c>
    </row>
    <row r="1681" spans="1:12" x14ac:dyDescent="0.25">
      <c r="A1681" s="5">
        <v>45308</v>
      </c>
      <c r="B1681" s="1" t="s">
        <v>10</v>
      </c>
      <c r="C1681" s="1" t="s">
        <v>19</v>
      </c>
      <c r="D1681" s="1" t="s">
        <v>31</v>
      </c>
      <c r="E1681" s="10">
        <v>14</v>
      </c>
      <c r="F1681" s="10">
        <v>1484</v>
      </c>
      <c r="G1681" s="1" t="s">
        <v>35</v>
      </c>
      <c r="H1681" s="10">
        <f t="shared" si="54"/>
        <v>20776</v>
      </c>
      <c r="I1681" s="7">
        <v>13456.16363470209</v>
      </c>
      <c r="J1681" s="7">
        <f t="shared" si="55"/>
        <v>7319.8363652979097</v>
      </c>
      <c r="K1681" s="1">
        <f>IF(B1681="North",28.6,
IF(B1681="South",13,
IF(B1681="East",22.6,
IF(B1681="West",19,
23.5))))</f>
        <v>28.6</v>
      </c>
      <c r="L1681" s="1">
        <f>IF(B1681="North",77.2,
IF(B1681="South",80.2,
IF(B1681="East",88.4,
IF(B1681="West",72.8,
78.9))))</f>
        <v>77.2</v>
      </c>
    </row>
    <row r="1682" spans="1:12" x14ac:dyDescent="0.25">
      <c r="A1682" s="5">
        <v>45651</v>
      </c>
      <c r="B1682" s="1" t="s">
        <v>12</v>
      </c>
      <c r="C1682" s="1" t="s">
        <v>22</v>
      </c>
      <c r="D1682" s="1" t="s">
        <v>32</v>
      </c>
      <c r="E1682" s="10">
        <v>5</v>
      </c>
      <c r="F1682" s="10">
        <v>437</v>
      </c>
      <c r="G1682" s="1" t="s">
        <v>35</v>
      </c>
      <c r="H1682" s="10">
        <f t="shared" si="54"/>
        <v>2185</v>
      </c>
      <c r="I1682" s="7">
        <v>1636.7833026470221</v>
      </c>
      <c r="J1682" s="7">
        <f t="shared" si="55"/>
        <v>548.21669735297792</v>
      </c>
      <c r="K1682" s="1">
        <f>IF(B1682="North",28.6,
IF(B1682="South",13,
IF(B1682="East",22.6,
IF(B1682="West",19,
23.5))))</f>
        <v>22.6</v>
      </c>
      <c r="L1682" s="1">
        <f>IF(B1682="North",77.2,
IF(B1682="South",80.2,
IF(B1682="East",88.4,
IF(B1682="West",72.8,
78.9))))</f>
        <v>88.4</v>
      </c>
    </row>
    <row r="1683" spans="1:12" x14ac:dyDescent="0.25">
      <c r="A1683" s="5">
        <v>45514</v>
      </c>
      <c r="B1683" s="1" t="s">
        <v>10</v>
      </c>
      <c r="C1683" s="1" t="s">
        <v>17</v>
      </c>
      <c r="D1683" s="1" t="s">
        <v>30</v>
      </c>
      <c r="E1683" s="10">
        <v>10</v>
      </c>
      <c r="F1683" s="10">
        <v>678</v>
      </c>
      <c r="G1683" s="1" t="s">
        <v>33</v>
      </c>
      <c r="H1683" s="10">
        <f t="shared" si="54"/>
        <v>6780</v>
      </c>
      <c r="I1683" s="7">
        <v>4251.2921216044851</v>
      </c>
      <c r="J1683" s="7">
        <f t="shared" si="55"/>
        <v>2528.7078783955149</v>
      </c>
      <c r="K1683" s="1">
        <f>IF(B1683="North",28.6,
IF(B1683="South",13,
IF(B1683="East",22.6,
IF(B1683="West",19,
23.5))))</f>
        <v>28.6</v>
      </c>
      <c r="L1683" s="1">
        <f>IF(B1683="North",77.2,
IF(B1683="South",80.2,
IF(B1683="East",88.4,
IF(B1683="West",72.8,
78.9))))</f>
        <v>77.2</v>
      </c>
    </row>
    <row r="1684" spans="1:12" x14ac:dyDescent="0.25">
      <c r="A1684" s="5">
        <v>45645</v>
      </c>
      <c r="B1684" s="1" t="s">
        <v>10</v>
      </c>
      <c r="C1684" s="1" t="s">
        <v>19</v>
      </c>
      <c r="D1684" s="1" t="s">
        <v>29</v>
      </c>
      <c r="E1684" s="10">
        <v>12</v>
      </c>
      <c r="F1684" s="10">
        <v>109</v>
      </c>
      <c r="G1684" s="1" t="s">
        <v>35</v>
      </c>
      <c r="H1684" s="10">
        <f t="shared" si="54"/>
        <v>1308</v>
      </c>
      <c r="I1684" s="7">
        <v>1154.334094648566</v>
      </c>
      <c r="J1684" s="7">
        <f t="shared" si="55"/>
        <v>153.66590535143405</v>
      </c>
      <c r="K1684" s="1">
        <f>IF(B1684="North",28.6,
IF(B1684="South",13,
IF(B1684="East",22.6,
IF(B1684="West",19,
23.5))))</f>
        <v>28.6</v>
      </c>
      <c r="L1684" s="1">
        <f>IF(B1684="North",77.2,
IF(B1684="South",80.2,
IF(B1684="East",88.4,
IF(B1684="West",72.8,
78.9))))</f>
        <v>77.2</v>
      </c>
    </row>
    <row r="1685" spans="1:12" x14ac:dyDescent="0.25">
      <c r="A1685" s="5">
        <v>45479</v>
      </c>
      <c r="B1685" s="1" t="s">
        <v>11</v>
      </c>
      <c r="C1685" s="1" t="s">
        <v>19</v>
      </c>
      <c r="D1685" s="1" t="s">
        <v>26</v>
      </c>
      <c r="E1685" s="10">
        <v>10</v>
      </c>
      <c r="F1685" s="10">
        <v>148</v>
      </c>
      <c r="G1685" s="1" t="s">
        <v>35</v>
      </c>
      <c r="H1685" s="10">
        <f t="shared" si="54"/>
        <v>1480</v>
      </c>
      <c r="I1685" s="7">
        <v>1171.2970674774811</v>
      </c>
      <c r="J1685" s="7">
        <f t="shared" si="55"/>
        <v>308.70293252251895</v>
      </c>
      <c r="K1685" s="1">
        <f>IF(B1685="North",28.6,
IF(B1685="South",13,
IF(B1685="East",22.6,
IF(B1685="West",19,
23.5))))</f>
        <v>19</v>
      </c>
      <c r="L1685" s="1">
        <f>IF(B1685="North",77.2,
IF(B1685="South",80.2,
IF(B1685="East",88.4,
IF(B1685="West",72.8,
78.9))))</f>
        <v>72.8</v>
      </c>
    </row>
    <row r="1686" spans="1:12" x14ac:dyDescent="0.25">
      <c r="A1686" s="5">
        <v>45635</v>
      </c>
      <c r="B1686" s="1" t="s">
        <v>11</v>
      </c>
      <c r="C1686" s="1" t="s">
        <v>24</v>
      </c>
      <c r="D1686" s="1" t="s">
        <v>29</v>
      </c>
      <c r="E1686" s="10">
        <v>11</v>
      </c>
      <c r="F1686" s="10">
        <v>1610</v>
      </c>
      <c r="G1686" s="1" t="s">
        <v>35</v>
      </c>
      <c r="H1686" s="10">
        <f t="shared" si="54"/>
        <v>17710</v>
      </c>
      <c r="I1686" s="7">
        <v>15164.453548724759</v>
      </c>
      <c r="J1686" s="7">
        <f t="shared" si="55"/>
        <v>2545.5464512752405</v>
      </c>
      <c r="K1686" s="1">
        <f>IF(B1686="North",28.6,
IF(B1686="South",13,
IF(B1686="East",22.6,
IF(B1686="West",19,
23.5))))</f>
        <v>19</v>
      </c>
      <c r="L1686" s="1">
        <f>IF(B1686="North",77.2,
IF(B1686="South",80.2,
IF(B1686="East",88.4,
IF(B1686="West",72.8,
78.9))))</f>
        <v>72.8</v>
      </c>
    </row>
    <row r="1687" spans="1:12" x14ac:dyDescent="0.25">
      <c r="A1687" s="5">
        <v>45656</v>
      </c>
      <c r="B1687" s="1" t="s">
        <v>10</v>
      </c>
      <c r="C1687" s="1" t="s">
        <v>17</v>
      </c>
      <c r="D1687" s="1" t="s">
        <v>27</v>
      </c>
      <c r="E1687" s="10">
        <v>2</v>
      </c>
      <c r="F1687" s="10">
        <v>722</v>
      </c>
      <c r="G1687" s="1" t="s">
        <v>33</v>
      </c>
      <c r="H1687" s="10">
        <f t="shared" si="54"/>
        <v>1444</v>
      </c>
      <c r="I1687" s="7">
        <v>1298.861469455602</v>
      </c>
      <c r="J1687" s="7">
        <f t="shared" si="55"/>
        <v>145.13853054439801</v>
      </c>
      <c r="K1687" s="1">
        <f>IF(B1687="North",28.6,
IF(B1687="South",13,
IF(B1687="East",22.6,
IF(B1687="West",19,
23.5))))</f>
        <v>28.6</v>
      </c>
      <c r="L1687" s="1">
        <f>IF(B1687="North",77.2,
IF(B1687="South",80.2,
IF(B1687="East",88.4,
IF(B1687="West",72.8,
78.9))))</f>
        <v>77.2</v>
      </c>
    </row>
    <row r="1688" spans="1:12" x14ac:dyDescent="0.25">
      <c r="A1688" s="5">
        <v>45454</v>
      </c>
      <c r="B1688" s="1" t="s">
        <v>12</v>
      </c>
      <c r="C1688" s="1" t="s">
        <v>21</v>
      </c>
      <c r="D1688" s="1" t="s">
        <v>31</v>
      </c>
      <c r="E1688" s="10">
        <v>5</v>
      </c>
      <c r="F1688" s="10">
        <v>1444</v>
      </c>
      <c r="G1688" s="1" t="s">
        <v>35</v>
      </c>
      <c r="H1688" s="10">
        <f t="shared" si="54"/>
        <v>7220</v>
      </c>
      <c r="I1688" s="7">
        <v>4727.6545445318498</v>
      </c>
      <c r="J1688" s="7">
        <f t="shared" si="55"/>
        <v>2492.3454554681502</v>
      </c>
      <c r="K1688" s="1">
        <f>IF(B1688="North",28.6,
IF(B1688="South",13,
IF(B1688="East",22.6,
IF(B1688="West",19,
23.5))))</f>
        <v>22.6</v>
      </c>
      <c r="L1688" s="1">
        <f>IF(B1688="North",77.2,
IF(B1688="South",80.2,
IF(B1688="East",88.4,
IF(B1688="West",72.8,
78.9))))</f>
        <v>88.4</v>
      </c>
    </row>
    <row r="1689" spans="1:12" x14ac:dyDescent="0.25">
      <c r="A1689" s="5">
        <v>45617</v>
      </c>
      <c r="B1689" s="1" t="s">
        <v>36</v>
      </c>
      <c r="C1689" s="1" t="s">
        <v>22</v>
      </c>
      <c r="D1689" s="1" t="s">
        <v>28</v>
      </c>
      <c r="E1689" s="10">
        <v>7</v>
      </c>
      <c r="F1689" s="10">
        <v>830</v>
      </c>
      <c r="G1689" s="1" t="s">
        <v>35</v>
      </c>
      <c r="H1689" s="10">
        <f t="shared" si="54"/>
        <v>5810</v>
      </c>
      <c r="I1689" s="7">
        <v>4695.8919722746678</v>
      </c>
      <c r="J1689" s="7">
        <f t="shared" si="55"/>
        <v>1114.1080277253322</v>
      </c>
      <c r="K1689" s="1">
        <f>IF(B1689="North",28.6,
IF(B1689="South",13,
IF(B1689="East",22.6,
IF(B1689="West",19,
23.5))))</f>
        <v>23.5</v>
      </c>
      <c r="L1689" s="1">
        <f>IF(B1689="North",77.2,
IF(B1689="South",80.2,
IF(B1689="East",88.4,
IF(B1689="West",72.8,
78.9))))</f>
        <v>78.900000000000006</v>
      </c>
    </row>
    <row r="1690" spans="1:12" x14ac:dyDescent="0.25">
      <c r="A1690" s="5">
        <v>45365</v>
      </c>
      <c r="B1690" s="1" t="s">
        <v>10</v>
      </c>
      <c r="C1690" s="1" t="s">
        <v>19</v>
      </c>
      <c r="D1690" s="1" t="s">
        <v>29</v>
      </c>
      <c r="E1690" s="10">
        <v>6</v>
      </c>
      <c r="F1690" s="10">
        <v>1692</v>
      </c>
      <c r="G1690" s="1" t="s">
        <v>35</v>
      </c>
      <c r="H1690" s="10">
        <f t="shared" si="54"/>
        <v>10152</v>
      </c>
      <c r="I1690" s="7">
        <v>8792.6054555044884</v>
      </c>
      <c r="J1690" s="7">
        <f t="shared" si="55"/>
        <v>1359.3945444955116</v>
      </c>
      <c r="K1690" s="1">
        <f>IF(B1690="North",28.6,
IF(B1690="South",13,
IF(B1690="East",22.6,
IF(B1690="West",19,
23.5))))</f>
        <v>28.6</v>
      </c>
      <c r="L1690" s="1">
        <f>IF(B1690="North",77.2,
IF(B1690="South",80.2,
IF(B1690="East",88.4,
IF(B1690="West",72.8,
78.9))))</f>
        <v>77.2</v>
      </c>
    </row>
    <row r="1691" spans="1:12" x14ac:dyDescent="0.25">
      <c r="A1691" s="5">
        <v>45524</v>
      </c>
      <c r="B1691" s="1" t="s">
        <v>10</v>
      </c>
      <c r="C1691" s="1" t="s">
        <v>17</v>
      </c>
      <c r="D1691" s="1" t="s">
        <v>30</v>
      </c>
      <c r="E1691" s="10">
        <v>3</v>
      </c>
      <c r="F1691" s="10">
        <v>894</v>
      </c>
      <c r="G1691" s="1" t="s">
        <v>33</v>
      </c>
      <c r="H1691" s="10">
        <f t="shared" si="54"/>
        <v>2682</v>
      </c>
      <c r="I1691" s="7">
        <v>2072.599849499526</v>
      </c>
      <c r="J1691" s="7">
        <f t="shared" si="55"/>
        <v>609.40015050047396</v>
      </c>
      <c r="K1691" s="1">
        <f>IF(B1691="North",28.6,
IF(B1691="South",13,
IF(B1691="East",22.6,
IF(B1691="West",19,
23.5))))</f>
        <v>28.6</v>
      </c>
      <c r="L1691" s="1">
        <f>IF(B1691="North",77.2,
IF(B1691="South",80.2,
IF(B1691="East",88.4,
IF(B1691="West",72.8,
78.9))))</f>
        <v>77.2</v>
      </c>
    </row>
    <row r="1692" spans="1:12" x14ac:dyDescent="0.25">
      <c r="A1692" s="5">
        <v>45515</v>
      </c>
      <c r="B1692" s="1" t="s">
        <v>16</v>
      </c>
      <c r="C1692" s="1" t="s">
        <v>18</v>
      </c>
      <c r="D1692" s="1" t="s">
        <v>27</v>
      </c>
      <c r="E1692" s="10">
        <v>13</v>
      </c>
      <c r="F1692" s="10">
        <v>1070</v>
      </c>
      <c r="G1692" s="1" t="s">
        <v>34</v>
      </c>
      <c r="H1692" s="10">
        <f t="shared" si="54"/>
        <v>13910</v>
      </c>
      <c r="I1692" s="7">
        <v>11015.452986923659</v>
      </c>
      <c r="J1692" s="7">
        <f t="shared" si="55"/>
        <v>2894.5470130763406</v>
      </c>
      <c r="K1692" s="1">
        <f>IF(B1692="North",28.6,
IF(B1692="South",13,
IF(B1692="East",22.6,
IF(B1692="West",19,
23.5))))</f>
        <v>28.6</v>
      </c>
      <c r="L1692" s="1">
        <f>IF(B1692="North",77.2,
IF(B1692="South",80.2,
IF(B1692="East",88.4,
IF(B1692="West",72.8,
78.9))))</f>
        <v>77.2</v>
      </c>
    </row>
    <row r="1693" spans="1:12" x14ac:dyDescent="0.25">
      <c r="A1693" s="5">
        <v>45610</v>
      </c>
      <c r="B1693" s="1" t="s">
        <v>10</v>
      </c>
      <c r="C1693" s="1" t="s">
        <v>23</v>
      </c>
      <c r="D1693" s="1" t="s">
        <v>30</v>
      </c>
      <c r="E1693" s="10">
        <v>3</v>
      </c>
      <c r="F1693" s="10">
        <v>1748</v>
      </c>
      <c r="G1693" s="1" t="s">
        <v>34</v>
      </c>
      <c r="H1693" s="10">
        <f t="shared" si="54"/>
        <v>5244</v>
      </c>
      <c r="I1693" s="7">
        <v>3787.7481580283611</v>
      </c>
      <c r="J1693" s="7">
        <f t="shared" si="55"/>
        <v>1456.2518419716389</v>
      </c>
      <c r="K1693" s="1">
        <f>IF(B1693="North",28.6,
IF(B1693="South",13,
IF(B1693="East",22.6,
IF(B1693="West",19,
23.5))))</f>
        <v>28.6</v>
      </c>
      <c r="L1693" s="1">
        <f>IF(B1693="North",77.2,
IF(B1693="South",80.2,
IF(B1693="East",88.4,
IF(B1693="West",72.8,
78.9))))</f>
        <v>77.2</v>
      </c>
    </row>
    <row r="1694" spans="1:12" x14ac:dyDescent="0.25">
      <c r="A1694" s="5">
        <v>45351</v>
      </c>
      <c r="B1694" s="1" t="s">
        <v>10</v>
      </c>
      <c r="C1694" s="1" t="s">
        <v>17</v>
      </c>
      <c r="D1694" s="1" t="s">
        <v>32</v>
      </c>
      <c r="E1694" s="10">
        <v>6</v>
      </c>
      <c r="F1694" s="10">
        <v>232</v>
      </c>
      <c r="G1694" s="1" t="s">
        <v>33</v>
      </c>
      <c r="H1694" s="10">
        <f t="shared" si="54"/>
        <v>1392</v>
      </c>
      <c r="I1694" s="7">
        <v>1116.980124160016</v>
      </c>
      <c r="J1694" s="7">
        <f t="shared" si="55"/>
        <v>275.01987583998402</v>
      </c>
      <c r="K1694" s="1">
        <f>IF(B1694="North",28.6,
IF(B1694="South",13,
IF(B1694="East",22.6,
IF(B1694="West",19,
23.5))))</f>
        <v>28.6</v>
      </c>
      <c r="L1694" s="1">
        <f>IF(B1694="North",77.2,
IF(B1694="South",80.2,
IF(B1694="East",88.4,
IF(B1694="West",72.8,
78.9))))</f>
        <v>77.2</v>
      </c>
    </row>
    <row r="1695" spans="1:12" x14ac:dyDescent="0.25">
      <c r="A1695" s="5">
        <v>45626</v>
      </c>
      <c r="B1695" s="1" t="s">
        <v>10</v>
      </c>
      <c r="C1695" s="1" t="s">
        <v>18</v>
      </c>
      <c r="D1695" s="1" t="s">
        <v>26</v>
      </c>
      <c r="E1695" s="10">
        <v>11</v>
      </c>
      <c r="F1695" s="10">
        <v>1706</v>
      </c>
      <c r="G1695" s="1" t="s">
        <v>34</v>
      </c>
      <c r="H1695" s="10">
        <f t="shared" si="54"/>
        <v>18766</v>
      </c>
      <c r="I1695" s="7">
        <v>13486.624544156241</v>
      </c>
      <c r="J1695" s="7">
        <f t="shared" si="55"/>
        <v>5279.3754558437595</v>
      </c>
      <c r="K1695" s="1">
        <f>IF(B1695="North",28.6,
IF(B1695="South",13,
IF(B1695="East",22.6,
IF(B1695="West",19,
23.5))))</f>
        <v>28.6</v>
      </c>
      <c r="L1695" s="1">
        <f>IF(B1695="North",77.2,
IF(B1695="South",80.2,
IF(B1695="East",88.4,
IF(B1695="West",72.8,
78.9))))</f>
        <v>77.2</v>
      </c>
    </row>
    <row r="1696" spans="1:12" x14ac:dyDescent="0.25">
      <c r="A1696" s="5">
        <v>45513</v>
      </c>
      <c r="B1696" s="1" t="s">
        <v>11</v>
      </c>
      <c r="C1696" s="1" t="s">
        <v>22</v>
      </c>
      <c r="D1696" s="1" t="s">
        <v>28</v>
      </c>
      <c r="E1696" s="10">
        <v>17</v>
      </c>
      <c r="F1696" s="10">
        <v>182</v>
      </c>
      <c r="G1696" s="1" t="s">
        <v>35</v>
      </c>
      <c r="H1696" s="10">
        <f t="shared" si="54"/>
        <v>3094</v>
      </c>
      <c r="I1696" s="7">
        <v>2298.7983481321739</v>
      </c>
      <c r="J1696" s="7">
        <f t="shared" si="55"/>
        <v>795.20165186782606</v>
      </c>
      <c r="K1696" s="1">
        <f>IF(B1696="North",28.6,
IF(B1696="South",13,
IF(B1696="East",22.6,
IF(B1696="West",19,
23.5))))</f>
        <v>19</v>
      </c>
      <c r="L1696" s="1">
        <f>IF(B1696="North",77.2,
IF(B1696="South",80.2,
IF(B1696="East",88.4,
IF(B1696="West",72.8,
78.9))))</f>
        <v>72.8</v>
      </c>
    </row>
    <row r="1697" spans="1:12" x14ac:dyDescent="0.25">
      <c r="A1697" s="5">
        <v>45328</v>
      </c>
      <c r="B1697" s="1" t="s">
        <v>12</v>
      </c>
      <c r="C1697" s="1" t="s">
        <v>17</v>
      </c>
      <c r="D1697" s="1" t="s">
        <v>30</v>
      </c>
      <c r="E1697" s="10">
        <v>10</v>
      </c>
      <c r="F1697" s="10">
        <v>156</v>
      </c>
      <c r="G1697" s="1" t="s">
        <v>33</v>
      </c>
      <c r="H1697" s="10">
        <f t="shared" si="54"/>
        <v>1560</v>
      </c>
      <c r="I1697" s="7">
        <v>984.16269554748214</v>
      </c>
      <c r="J1697" s="7">
        <f t="shared" si="55"/>
        <v>575.83730445251786</v>
      </c>
      <c r="K1697" s="1">
        <f>IF(B1697="North",28.6,
IF(B1697="South",13,
IF(B1697="East",22.6,
IF(B1697="West",19,
23.5))))</f>
        <v>22.6</v>
      </c>
      <c r="L1697" s="1">
        <f>IF(B1697="North",77.2,
IF(B1697="South",80.2,
IF(B1697="East",88.4,
IF(B1697="West",72.8,
78.9))))</f>
        <v>88.4</v>
      </c>
    </row>
    <row r="1698" spans="1:12" x14ac:dyDescent="0.25">
      <c r="A1698" s="5">
        <v>45569</v>
      </c>
      <c r="B1698" s="1" t="s">
        <v>10</v>
      </c>
      <c r="C1698" s="1" t="s">
        <v>18</v>
      </c>
      <c r="D1698" s="1" t="s">
        <v>31</v>
      </c>
      <c r="E1698" s="10">
        <v>12</v>
      </c>
      <c r="F1698" s="10">
        <v>475</v>
      </c>
      <c r="G1698" s="1" t="s">
        <v>34</v>
      </c>
      <c r="H1698" s="10">
        <f t="shared" si="54"/>
        <v>5700</v>
      </c>
      <c r="I1698" s="7">
        <v>3433.3523643084532</v>
      </c>
      <c r="J1698" s="7">
        <f t="shared" si="55"/>
        <v>2266.6476356915468</v>
      </c>
      <c r="K1698" s="1">
        <f>IF(B1698="North",28.6,
IF(B1698="South",13,
IF(B1698="East",22.6,
IF(B1698="West",19,
23.5))))</f>
        <v>28.6</v>
      </c>
      <c r="L1698" s="1">
        <f>IF(B1698="North",77.2,
IF(B1698="South",80.2,
IF(B1698="East",88.4,
IF(B1698="West",72.8,
78.9))))</f>
        <v>77.2</v>
      </c>
    </row>
    <row r="1699" spans="1:12" x14ac:dyDescent="0.25">
      <c r="A1699" s="5">
        <v>45487</v>
      </c>
      <c r="B1699" s="1" t="s">
        <v>13</v>
      </c>
      <c r="C1699" s="1" t="s">
        <v>17</v>
      </c>
      <c r="D1699" s="1" t="s">
        <v>32</v>
      </c>
      <c r="E1699" s="10">
        <v>17</v>
      </c>
      <c r="F1699" s="10">
        <v>448</v>
      </c>
      <c r="G1699" s="1" t="s">
        <v>33</v>
      </c>
      <c r="H1699" s="10">
        <f t="shared" si="54"/>
        <v>7616</v>
      </c>
      <c r="I1699" s="7">
        <v>4695.6092884326654</v>
      </c>
      <c r="J1699" s="7">
        <f t="shared" si="55"/>
        <v>2920.3907115673346</v>
      </c>
      <c r="K1699" s="1">
        <f>IF(B1699="North",28.6,
IF(B1699="South",13,
IF(B1699="East",22.6,
IF(B1699="West",19,
23.5))))</f>
        <v>13</v>
      </c>
      <c r="L1699" s="1">
        <f>IF(B1699="North",77.2,
IF(B1699="South",80.2,
IF(B1699="East",88.4,
IF(B1699="West",72.8,
78.9))))</f>
        <v>80.2</v>
      </c>
    </row>
    <row r="1700" spans="1:12" x14ac:dyDescent="0.25">
      <c r="A1700" s="5">
        <v>45643</v>
      </c>
      <c r="B1700" s="1" t="s">
        <v>11</v>
      </c>
      <c r="C1700" s="1" t="s">
        <v>17</v>
      </c>
      <c r="D1700" s="1" t="s">
        <v>32</v>
      </c>
      <c r="E1700" s="10">
        <v>4</v>
      </c>
      <c r="F1700" s="10">
        <v>370</v>
      </c>
      <c r="G1700" s="1" t="s">
        <v>33</v>
      </c>
      <c r="H1700" s="10">
        <f t="shared" si="54"/>
        <v>1480</v>
      </c>
      <c r="I1700" s="7">
        <v>973.47960857629516</v>
      </c>
      <c r="J1700" s="7">
        <f t="shared" si="55"/>
        <v>506.52039142370484</v>
      </c>
      <c r="K1700" s="1">
        <f>IF(B1700="North",28.6,
IF(B1700="South",13,
IF(B1700="East",22.6,
IF(B1700="West",19,
23.5))))</f>
        <v>19</v>
      </c>
      <c r="L1700" s="1">
        <f>IF(B1700="North",77.2,
IF(B1700="South",80.2,
IF(B1700="East",88.4,
IF(B1700="West",72.8,
78.9))))</f>
        <v>72.8</v>
      </c>
    </row>
    <row r="1701" spans="1:12" x14ac:dyDescent="0.25">
      <c r="A1701" s="5">
        <v>45533</v>
      </c>
      <c r="B1701" s="1" t="s">
        <v>11</v>
      </c>
      <c r="C1701" s="1" t="s">
        <v>23</v>
      </c>
      <c r="D1701" s="1" t="s">
        <v>28</v>
      </c>
      <c r="E1701" s="10">
        <v>2</v>
      </c>
      <c r="F1701" s="10">
        <v>1606</v>
      </c>
      <c r="G1701" s="1" t="s">
        <v>34</v>
      </c>
      <c r="H1701" s="10">
        <f t="shared" si="54"/>
        <v>3212</v>
      </c>
      <c r="I1701" s="7">
        <v>2367.1834405618051</v>
      </c>
      <c r="J1701" s="7">
        <f t="shared" si="55"/>
        <v>844.81655943819487</v>
      </c>
      <c r="K1701" s="1">
        <f>IF(B1701="North",28.6,
IF(B1701="South",13,
IF(B1701="East",22.6,
IF(B1701="West",19,
23.5))))</f>
        <v>19</v>
      </c>
      <c r="L1701" s="1">
        <f>IF(B1701="North",77.2,
IF(B1701="South",80.2,
IF(B1701="East",88.4,
IF(B1701="West",72.8,
78.9))))</f>
        <v>72.8</v>
      </c>
    </row>
    <row r="1702" spans="1:12" x14ac:dyDescent="0.25">
      <c r="A1702" s="5">
        <v>45615</v>
      </c>
      <c r="B1702" s="1" t="s">
        <v>10</v>
      </c>
      <c r="C1702" s="1" t="s">
        <v>18</v>
      </c>
      <c r="D1702" s="1" t="s">
        <v>32</v>
      </c>
      <c r="E1702" s="10">
        <v>11</v>
      </c>
      <c r="F1702" s="10">
        <v>210</v>
      </c>
      <c r="G1702" s="1" t="s">
        <v>34</v>
      </c>
      <c r="H1702" s="10">
        <f t="shared" si="54"/>
        <v>2310</v>
      </c>
      <c r="I1702" s="7">
        <v>1400.548891100058</v>
      </c>
      <c r="J1702" s="7">
        <f t="shared" si="55"/>
        <v>909.45110889994203</v>
      </c>
      <c r="K1702" s="1">
        <f>IF(B1702="North",28.6,
IF(B1702="South",13,
IF(B1702="East",22.6,
IF(B1702="West",19,
23.5))))</f>
        <v>28.6</v>
      </c>
      <c r="L1702" s="1">
        <f>IF(B1702="North",77.2,
IF(B1702="South",80.2,
IF(B1702="East",88.4,
IF(B1702="West",72.8,
78.9))))</f>
        <v>77.2</v>
      </c>
    </row>
    <row r="1703" spans="1:12" x14ac:dyDescent="0.25">
      <c r="A1703" s="5">
        <v>45510</v>
      </c>
      <c r="B1703" s="1" t="s">
        <v>11</v>
      </c>
      <c r="C1703" s="1" t="s">
        <v>18</v>
      </c>
      <c r="D1703" s="1" t="s">
        <v>31</v>
      </c>
      <c r="E1703" s="10">
        <v>7</v>
      </c>
      <c r="F1703" s="10">
        <v>968</v>
      </c>
      <c r="G1703" s="1" t="s">
        <v>34</v>
      </c>
      <c r="H1703" s="10">
        <f t="shared" si="54"/>
        <v>6776</v>
      </c>
      <c r="I1703" s="7">
        <v>4382.5880000727229</v>
      </c>
      <c r="J1703" s="7">
        <f t="shared" si="55"/>
        <v>2393.4119999272771</v>
      </c>
      <c r="K1703" s="1">
        <f>IF(B1703="North",28.6,
IF(B1703="South",13,
IF(B1703="East",22.6,
IF(B1703="West",19,
23.5))))</f>
        <v>19</v>
      </c>
      <c r="L1703" s="1">
        <f>IF(B1703="North",77.2,
IF(B1703="South",80.2,
IF(B1703="East",88.4,
IF(B1703="West",72.8,
78.9))))</f>
        <v>72.8</v>
      </c>
    </row>
    <row r="1704" spans="1:12" x14ac:dyDescent="0.25">
      <c r="A1704" s="5">
        <v>45483</v>
      </c>
      <c r="B1704" s="1" t="s">
        <v>10</v>
      </c>
      <c r="C1704" s="1" t="s">
        <v>19</v>
      </c>
      <c r="D1704" s="1" t="s">
        <v>30</v>
      </c>
      <c r="E1704" s="10">
        <v>2</v>
      </c>
      <c r="F1704" s="10">
        <v>986</v>
      </c>
      <c r="G1704" s="1" t="s">
        <v>35</v>
      </c>
      <c r="H1704" s="10">
        <f t="shared" si="54"/>
        <v>1972</v>
      </c>
      <c r="I1704" s="7">
        <v>1645.502627658034</v>
      </c>
      <c r="J1704" s="7">
        <f t="shared" si="55"/>
        <v>326.49737234196596</v>
      </c>
      <c r="K1704" s="1">
        <f>IF(B1704="North",28.6,
IF(B1704="South",13,
IF(B1704="East",22.6,
IF(B1704="West",19,
23.5))))</f>
        <v>28.6</v>
      </c>
      <c r="L1704" s="1">
        <f>IF(B1704="North",77.2,
IF(B1704="South",80.2,
IF(B1704="East",88.4,
IF(B1704="West",72.8,
78.9))))</f>
        <v>77.2</v>
      </c>
    </row>
    <row r="1705" spans="1:12" x14ac:dyDescent="0.25">
      <c r="A1705" s="5">
        <v>45308</v>
      </c>
      <c r="B1705" s="1" t="s">
        <v>12</v>
      </c>
      <c r="C1705" s="1" t="s">
        <v>22</v>
      </c>
      <c r="D1705" s="1" t="s">
        <v>28</v>
      </c>
      <c r="E1705" s="10">
        <v>18</v>
      </c>
      <c r="F1705" s="10">
        <v>175</v>
      </c>
      <c r="G1705" s="1" t="s">
        <v>35</v>
      </c>
      <c r="H1705" s="10">
        <f t="shared" si="54"/>
        <v>3150</v>
      </c>
      <c r="I1705" s="7">
        <v>2610.247397557634</v>
      </c>
      <c r="J1705" s="7">
        <f t="shared" si="55"/>
        <v>539.75260244236597</v>
      </c>
      <c r="K1705" s="1">
        <f>IF(B1705="North",28.6,
IF(B1705="South",13,
IF(B1705="East",22.6,
IF(B1705="West",19,
23.5))))</f>
        <v>22.6</v>
      </c>
      <c r="L1705" s="1">
        <f>IF(B1705="North",77.2,
IF(B1705="South",80.2,
IF(B1705="East",88.4,
IF(B1705="West",72.8,
78.9))))</f>
        <v>88.4</v>
      </c>
    </row>
    <row r="1706" spans="1:12" x14ac:dyDescent="0.25">
      <c r="A1706" s="5">
        <v>45303</v>
      </c>
      <c r="B1706" s="1" t="s">
        <v>12</v>
      </c>
      <c r="C1706" s="1" t="s">
        <v>23</v>
      </c>
      <c r="D1706" s="1" t="s">
        <v>25</v>
      </c>
      <c r="E1706" s="10">
        <v>4</v>
      </c>
      <c r="F1706" s="10">
        <v>1281</v>
      </c>
      <c r="G1706" s="1" t="s">
        <v>34</v>
      </c>
      <c r="H1706" s="10">
        <f t="shared" si="54"/>
        <v>5124</v>
      </c>
      <c r="I1706" s="7">
        <v>4288.3734043635786</v>
      </c>
      <c r="J1706" s="7">
        <f t="shared" si="55"/>
        <v>835.62659563642137</v>
      </c>
      <c r="K1706" s="1">
        <f>IF(B1706="North",28.6,
IF(B1706="South",13,
IF(B1706="East",22.6,
IF(B1706="West",19,
23.5))))</f>
        <v>22.6</v>
      </c>
      <c r="L1706" s="1">
        <f>IF(B1706="North",77.2,
IF(B1706="South",80.2,
IF(B1706="East",88.4,
IF(B1706="West",72.8,
78.9))))</f>
        <v>88.4</v>
      </c>
    </row>
    <row r="1707" spans="1:12" x14ac:dyDescent="0.25">
      <c r="A1707" s="5">
        <v>45484</v>
      </c>
      <c r="B1707" s="1" t="s">
        <v>11</v>
      </c>
      <c r="C1707" s="1" t="s">
        <v>17</v>
      </c>
      <c r="D1707" s="1" t="s">
        <v>32</v>
      </c>
      <c r="E1707" s="10">
        <v>8</v>
      </c>
      <c r="F1707" s="10">
        <v>1655</v>
      </c>
      <c r="G1707" s="1" t="s">
        <v>33</v>
      </c>
      <c r="H1707" s="10">
        <f t="shared" si="54"/>
        <v>13240</v>
      </c>
      <c r="I1707" s="7">
        <v>11604.360626377589</v>
      </c>
      <c r="J1707" s="7">
        <f t="shared" si="55"/>
        <v>1635.6393736224109</v>
      </c>
      <c r="K1707" s="1">
        <f>IF(B1707="North",28.6,
IF(B1707="South",13,
IF(B1707="East",22.6,
IF(B1707="West",19,
23.5))))</f>
        <v>19</v>
      </c>
      <c r="L1707" s="1">
        <f>IF(B1707="North",77.2,
IF(B1707="South",80.2,
IF(B1707="East",88.4,
IF(B1707="West",72.8,
78.9))))</f>
        <v>72.8</v>
      </c>
    </row>
    <row r="1708" spans="1:12" x14ac:dyDescent="0.25">
      <c r="A1708" s="5">
        <v>45313</v>
      </c>
      <c r="B1708" s="1" t="s">
        <v>11</v>
      </c>
      <c r="C1708" s="1" t="s">
        <v>17</v>
      </c>
      <c r="D1708" s="1" t="s">
        <v>32</v>
      </c>
      <c r="E1708" s="10">
        <v>14</v>
      </c>
      <c r="F1708" s="10">
        <v>1766</v>
      </c>
      <c r="G1708" s="1" t="s">
        <v>33</v>
      </c>
      <c r="H1708" s="10">
        <f t="shared" si="54"/>
        <v>24724</v>
      </c>
      <c r="I1708" s="7">
        <v>15717.573426648079</v>
      </c>
      <c r="J1708" s="7">
        <f t="shared" si="55"/>
        <v>9006.4265733519205</v>
      </c>
      <c r="K1708" s="1">
        <f>IF(B1708="North",28.6,
IF(B1708="South",13,
IF(B1708="East",22.6,
IF(B1708="West",19,
23.5))))</f>
        <v>19</v>
      </c>
      <c r="L1708" s="1">
        <f>IF(B1708="North",77.2,
IF(B1708="South",80.2,
IF(B1708="East",88.4,
IF(B1708="West",72.8,
78.9))))</f>
        <v>72.8</v>
      </c>
    </row>
    <row r="1709" spans="1:12" x14ac:dyDescent="0.25">
      <c r="A1709" s="5">
        <v>45411</v>
      </c>
      <c r="B1709" s="1" t="s">
        <v>13</v>
      </c>
      <c r="C1709" s="1" t="s">
        <v>19</v>
      </c>
      <c r="D1709" s="1" t="s">
        <v>31</v>
      </c>
      <c r="E1709" s="10">
        <v>12</v>
      </c>
      <c r="F1709" s="10">
        <v>428</v>
      </c>
      <c r="G1709" s="1" t="s">
        <v>35</v>
      </c>
      <c r="H1709" s="10">
        <f t="shared" si="54"/>
        <v>5136</v>
      </c>
      <c r="I1709" s="7">
        <v>3332.9659212919219</v>
      </c>
      <c r="J1709" s="7">
        <f t="shared" si="55"/>
        <v>1803.0340787080781</v>
      </c>
      <c r="K1709" s="1">
        <f>IF(B1709="North",28.6,
IF(B1709="South",13,
IF(B1709="East",22.6,
IF(B1709="West",19,
23.5))))</f>
        <v>13</v>
      </c>
      <c r="L1709" s="1">
        <f>IF(B1709="North",77.2,
IF(B1709="South",80.2,
IF(B1709="East",88.4,
IF(B1709="West",72.8,
78.9))))</f>
        <v>80.2</v>
      </c>
    </row>
    <row r="1710" spans="1:12" x14ac:dyDescent="0.25">
      <c r="A1710" s="5">
        <v>45501</v>
      </c>
      <c r="B1710" s="1" t="s">
        <v>11</v>
      </c>
      <c r="C1710" s="1" t="s">
        <v>22</v>
      </c>
      <c r="D1710" s="1" t="s">
        <v>26</v>
      </c>
      <c r="E1710" s="10">
        <v>18</v>
      </c>
      <c r="F1710" s="10">
        <v>221</v>
      </c>
      <c r="G1710" s="1" t="s">
        <v>35</v>
      </c>
      <c r="H1710" s="10">
        <f t="shared" si="54"/>
        <v>3978</v>
      </c>
      <c r="I1710" s="7">
        <v>2784.8628836652092</v>
      </c>
      <c r="J1710" s="7">
        <f t="shared" si="55"/>
        <v>1193.1371163347908</v>
      </c>
      <c r="K1710" s="1">
        <f>IF(B1710="North",28.6,
IF(B1710="South",13,
IF(B1710="East",22.6,
IF(B1710="West",19,
23.5))))</f>
        <v>19</v>
      </c>
      <c r="L1710" s="1">
        <f>IF(B1710="North",77.2,
IF(B1710="South",80.2,
IF(B1710="East",88.4,
IF(B1710="West",72.8,
78.9))))</f>
        <v>72.8</v>
      </c>
    </row>
    <row r="1711" spans="1:12" x14ac:dyDescent="0.25">
      <c r="A1711" s="5">
        <v>45597</v>
      </c>
      <c r="B1711" s="1" t="s">
        <v>13</v>
      </c>
      <c r="C1711" s="1" t="s">
        <v>24</v>
      </c>
      <c r="D1711" s="1" t="s">
        <v>26</v>
      </c>
      <c r="E1711" s="10">
        <v>10</v>
      </c>
      <c r="F1711" s="10">
        <v>140</v>
      </c>
      <c r="G1711" s="1" t="s">
        <v>35</v>
      </c>
      <c r="H1711" s="10">
        <f t="shared" si="54"/>
        <v>1400</v>
      </c>
      <c r="I1711" s="7">
        <f>H1711*0.7</f>
        <v>979.99999999999989</v>
      </c>
      <c r="J1711" s="7">
        <f t="shared" si="55"/>
        <v>420.00000000000011</v>
      </c>
      <c r="K1711" s="1">
        <f>IF(B1711="North",28.6,
IF(B1711="South",13,
IF(B1711="East",22.6,
IF(B1711="West",19,
23.5))))</f>
        <v>13</v>
      </c>
      <c r="L1711" s="1">
        <f>IF(B1711="North",77.2,
IF(B1711="South",80.2,
IF(B1711="East",88.4,
IF(B1711="West",72.8,
78.9))))</f>
        <v>80.2</v>
      </c>
    </row>
    <row r="1712" spans="1:12" x14ac:dyDescent="0.25">
      <c r="A1712" s="5">
        <v>45561</v>
      </c>
      <c r="B1712" s="1" t="s">
        <v>12</v>
      </c>
      <c r="C1712" s="1" t="s">
        <v>23</v>
      </c>
      <c r="D1712" s="1" t="s">
        <v>29</v>
      </c>
      <c r="E1712" s="10">
        <v>8</v>
      </c>
      <c r="F1712" s="10">
        <v>1290</v>
      </c>
      <c r="G1712" s="1" t="s">
        <v>34</v>
      </c>
      <c r="H1712" s="10">
        <f t="shared" si="54"/>
        <v>10320</v>
      </c>
      <c r="I1712" s="7">
        <v>8592.8790923464057</v>
      </c>
      <c r="J1712" s="7">
        <f t="shared" si="55"/>
        <v>1727.1209076535943</v>
      </c>
      <c r="K1712" s="1">
        <f>IF(B1712="North",28.6,
IF(B1712="South",13,
IF(B1712="East",22.6,
IF(B1712="West",19,
23.5))))</f>
        <v>22.6</v>
      </c>
      <c r="L1712" s="1">
        <f>IF(B1712="North",77.2,
IF(B1712="South",80.2,
IF(B1712="East",88.4,
IF(B1712="West",72.8,
78.9))))</f>
        <v>88.4</v>
      </c>
    </row>
    <row r="1713" spans="1:12" x14ac:dyDescent="0.25">
      <c r="A1713" s="5">
        <v>45483</v>
      </c>
      <c r="B1713" s="1" t="s">
        <v>12</v>
      </c>
      <c r="C1713" s="1" t="s">
        <v>19</v>
      </c>
      <c r="D1713" s="1" t="s">
        <v>32</v>
      </c>
      <c r="E1713" s="10">
        <v>2</v>
      </c>
      <c r="F1713" s="10">
        <v>1021</v>
      </c>
      <c r="G1713" s="1" t="s">
        <v>35</v>
      </c>
      <c r="H1713" s="10">
        <f t="shared" si="54"/>
        <v>2042</v>
      </c>
      <c r="I1713" s="7">
        <v>1423.756691430779</v>
      </c>
      <c r="J1713" s="7">
        <f t="shared" si="55"/>
        <v>618.24330856922097</v>
      </c>
      <c r="K1713" s="1">
        <f>IF(B1713="North",28.6,
IF(B1713="South",13,
IF(B1713="East",22.6,
IF(B1713="West",19,
23.5))))</f>
        <v>22.6</v>
      </c>
      <c r="L1713" s="1">
        <f>IF(B1713="North",77.2,
IF(B1713="South",80.2,
IF(B1713="East",88.4,
IF(B1713="West",72.8,
78.9))))</f>
        <v>88.4</v>
      </c>
    </row>
    <row r="1714" spans="1:12" x14ac:dyDescent="0.25">
      <c r="A1714" s="5">
        <v>45466</v>
      </c>
      <c r="B1714" s="1" t="s">
        <v>10</v>
      </c>
      <c r="C1714" s="1" t="s">
        <v>22</v>
      </c>
      <c r="D1714" s="1" t="s">
        <v>25</v>
      </c>
      <c r="E1714" s="10">
        <v>15</v>
      </c>
      <c r="F1714" s="10">
        <v>741</v>
      </c>
      <c r="G1714" s="1" t="s">
        <v>35</v>
      </c>
      <c r="H1714" s="10">
        <f t="shared" si="54"/>
        <v>11115</v>
      </c>
      <c r="I1714" s="7">
        <v>6961.2216343965292</v>
      </c>
      <c r="J1714" s="7">
        <f t="shared" si="55"/>
        <v>4153.7783656034708</v>
      </c>
      <c r="K1714" s="1">
        <f>IF(B1714="North",28.6,
IF(B1714="South",13,
IF(B1714="East",22.6,
IF(B1714="West",19,
23.5))))</f>
        <v>28.6</v>
      </c>
      <c r="L1714" s="1">
        <f>IF(B1714="North",77.2,
IF(B1714="South",80.2,
IF(B1714="East",88.4,
IF(B1714="West",72.8,
78.9))))</f>
        <v>77.2</v>
      </c>
    </row>
    <row r="1715" spans="1:12" x14ac:dyDescent="0.25">
      <c r="A1715" s="5">
        <v>45576</v>
      </c>
      <c r="B1715" s="1" t="s">
        <v>12</v>
      </c>
      <c r="C1715" s="1" t="s">
        <v>23</v>
      </c>
      <c r="D1715" s="1" t="s">
        <v>30</v>
      </c>
      <c r="E1715" s="10">
        <v>9</v>
      </c>
      <c r="F1715" s="10">
        <v>1146</v>
      </c>
      <c r="G1715" s="1" t="s">
        <v>34</v>
      </c>
      <c r="H1715" s="10">
        <f t="shared" si="54"/>
        <v>10314</v>
      </c>
      <c r="I1715" s="7">
        <v>8095.6030769097224</v>
      </c>
      <c r="J1715" s="7">
        <f t="shared" si="55"/>
        <v>2218.3969230902776</v>
      </c>
      <c r="K1715" s="1">
        <f>IF(B1715="North",28.6,
IF(B1715="South",13,
IF(B1715="East",22.6,
IF(B1715="West",19,
23.5))))</f>
        <v>22.6</v>
      </c>
      <c r="L1715" s="1">
        <f>IF(B1715="North",77.2,
IF(B1715="South",80.2,
IF(B1715="East",88.4,
IF(B1715="West",72.8,
78.9))))</f>
        <v>88.4</v>
      </c>
    </row>
    <row r="1716" spans="1:12" x14ac:dyDescent="0.25">
      <c r="A1716" s="5">
        <v>45495</v>
      </c>
      <c r="B1716" s="1" t="s">
        <v>13</v>
      </c>
      <c r="C1716" s="1" t="s">
        <v>17</v>
      </c>
      <c r="D1716" s="1" t="s">
        <v>28</v>
      </c>
      <c r="E1716" s="10">
        <v>19</v>
      </c>
      <c r="F1716" s="10">
        <v>378</v>
      </c>
      <c r="G1716" s="1" t="s">
        <v>33</v>
      </c>
      <c r="H1716" s="10">
        <f t="shared" si="54"/>
        <v>7182</v>
      </c>
      <c r="I1716" s="7">
        <v>4862.5425746448591</v>
      </c>
      <c r="J1716" s="7">
        <f t="shared" si="55"/>
        <v>2319.4574253551409</v>
      </c>
      <c r="K1716" s="1">
        <f>IF(B1716="North",28.6,
IF(B1716="South",13,
IF(B1716="East",22.6,
IF(B1716="West",19,
23.5))))</f>
        <v>13</v>
      </c>
      <c r="L1716" s="1">
        <f>IF(B1716="North",77.2,
IF(B1716="South",80.2,
IF(B1716="East",88.4,
IF(B1716="West",72.8,
78.9))))</f>
        <v>80.2</v>
      </c>
    </row>
    <row r="1717" spans="1:12" x14ac:dyDescent="0.25">
      <c r="A1717" s="5">
        <v>45455</v>
      </c>
      <c r="B1717" s="1" t="s">
        <v>11</v>
      </c>
      <c r="C1717" s="1" t="s">
        <v>22</v>
      </c>
      <c r="D1717" s="1" t="s">
        <v>32</v>
      </c>
      <c r="E1717" s="10">
        <v>8</v>
      </c>
      <c r="F1717" s="10">
        <v>862</v>
      </c>
      <c r="G1717" s="1" t="s">
        <v>35</v>
      </c>
      <c r="H1717" s="10">
        <f t="shared" si="54"/>
        <v>6896</v>
      </c>
      <c r="I1717" s="7">
        <v>5236.4484284757427</v>
      </c>
      <c r="J1717" s="7">
        <f t="shared" si="55"/>
        <v>1659.5515715242573</v>
      </c>
      <c r="K1717" s="1">
        <f>IF(B1717="North",28.6,
IF(B1717="South",13,
IF(B1717="East",22.6,
IF(B1717="West",19,
23.5))))</f>
        <v>19</v>
      </c>
      <c r="L1717" s="1">
        <f>IF(B1717="North",77.2,
IF(B1717="South",80.2,
IF(B1717="East",88.4,
IF(B1717="West",72.8,
78.9))))</f>
        <v>72.8</v>
      </c>
    </row>
    <row r="1718" spans="1:12" x14ac:dyDescent="0.25">
      <c r="A1718" s="5">
        <v>45542</v>
      </c>
      <c r="B1718" s="1" t="s">
        <v>10</v>
      </c>
      <c r="C1718" s="1" t="s">
        <v>22</v>
      </c>
      <c r="D1718" s="1" t="s">
        <v>27</v>
      </c>
      <c r="E1718" s="10">
        <v>19</v>
      </c>
      <c r="F1718" s="10">
        <v>568</v>
      </c>
      <c r="G1718" s="1" t="s">
        <v>35</v>
      </c>
      <c r="H1718" s="10">
        <f t="shared" si="54"/>
        <v>10792</v>
      </c>
      <c r="I1718" s="7">
        <v>9524.382557044124</v>
      </c>
      <c r="J1718" s="7">
        <f t="shared" si="55"/>
        <v>1267.617442955876</v>
      </c>
      <c r="K1718" s="1">
        <f>IF(B1718="North",28.6,
IF(B1718="South",13,
IF(B1718="East",22.6,
IF(B1718="West",19,
23.5))))</f>
        <v>28.6</v>
      </c>
      <c r="L1718" s="1">
        <f>IF(B1718="North",77.2,
IF(B1718="South",80.2,
IF(B1718="East",88.4,
IF(B1718="West",72.8,
78.9))))</f>
        <v>77.2</v>
      </c>
    </row>
    <row r="1719" spans="1:12" x14ac:dyDescent="0.25">
      <c r="A1719" s="5">
        <v>45518</v>
      </c>
      <c r="B1719" s="1" t="s">
        <v>13</v>
      </c>
      <c r="C1719" s="1" t="s">
        <v>21</v>
      </c>
      <c r="D1719" s="1" t="s">
        <v>28</v>
      </c>
      <c r="E1719" s="10">
        <v>5</v>
      </c>
      <c r="F1719" s="10">
        <v>1523</v>
      </c>
      <c r="G1719" s="1" t="s">
        <v>35</v>
      </c>
      <c r="H1719" s="10">
        <f t="shared" si="54"/>
        <v>7615</v>
      </c>
      <c r="I1719" s="7">
        <v>5877.1440969205969</v>
      </c>
      <c r="J1719" s="7">
        <f t="shared" si="55"/>
        <v>1737.8559030794031</v>
      </c>
      <c r="K1719" s="1">
        <f>IF(B1719="North",28.6,
IF(B1719="South",13,
IF(B1719="East",22.6,
IF(B1719="West",19,
23.5))))</f>
        <v>13</v>
      </c>
      <c r="L1719" s="1">
        <f>IF(B1719="North",77.2,
IF(B1719="South",80.2,
IF(B1719="East",88.4,
IF(B1719="West",72.8,
78.9))))</f>
        <v>80.2</v>
      </c>
    </row>
    <row r="1720" spans="1:12" x14ac:dyDescent="0.25">
      <c r="A1720" s="5">
        <v>45298</v>
      </c>
      <c r="B1720" s="1" t="s">
        <v>36</v>
      </c>
      <c r="C1720" s="1" t="s">
        <v>40</v>
      </c>
      <c r="D1720" s="1" t="s">
        <v>29</v>
      </c>
      <c r="E1720" s="10">
        <v>11</v>
      </c>
      <c r="F1720" s="10">
        <v>108</v>
      </c>
      <c r="G1720" s="1" t="s">
        <v>35</v>
      </c>
      <c r="H1720" s="10">
        <f t="shared" si="54"/>
        <v>1188</v>
      </c>
      <c r="I1720" s="7">
        <v>1042.0545931412869</v>
      </c>
      <c r="J1720" s="7">
        <f t="shared" si="55"/>
        <v>145.94540685871311</v>
      </c>
      <c r="K1720" s="1">
        <f>IF(B1720="North",28.6,
IF(B1720="South",13,
IF(B1720="East",22.6,
IF(B1720="West",19,
23.5))))</f>
        <v>23.5</v>
      </c>
      <c r="L1720" s="1">
        <f>IF(B1720="North",77.2,
IF(B1720="South",80.2,
IF(B1720="East",88.4,
IF(B1720="West",72.8,
78.9))))</f>
        <v>78.900000000000006</v>
      </c>
    </row>
    <row r="1721" spans="1:12" x14ac:dyDescent="0.25">
      <c r="A1721" s="5">
        <v>45320</v>
      </c>
      <c r="B1721" s="1" t="s">
        <v>10</v>
      </c>
      <c r="C1721" s="1" t="s">
        <v>24</v>
      </c>
      <c r="D1721" s="1" t="s">
        <v>26</v>
      </c>
      <c r="E1721" s="10">
        <v>15</v>
      </c>
      <c r="F1721" s="10">
        <v>112</v>
      </c>
      <c r="G1721" s="1" t="s">
        <v>35</v>
      </c>
      <c r="H1721" s="10">
        <f t="shared" si="54"/>
        <v>1680</v>
      </c>
      <c r="I1721" s="7">
        <v>1206.091548141417</v>
      </c>
      <c r="J1721" s="7">
        <f t="shared" si="55"/>
        <v>473.90845185858302</v>
      </c>
      <c r="K1721" s="1">
        <f>IF(B1721="North",28.6,
IF(B1721="South",13,
IF(B1721="East",22.6,
IF(B1721="West",19,
23.5))))</f>
        <v>28.6</v>
      </c>
      <c r="L1721" s="1">
        <f>IF(B1721="North",77.2,
IF(B1721="South",80.2,
IF(B1721="East",88.4,
IF(B1721="West",72.8,
78.9))))</f>
        <v>77.2</v>
      </c>
    </row>
    <row r="1722" spans="1:12" x14ac:dyDescent="0.25">
      <c r="A1722" s="5">
        <v>45324</v>
      </c>
      <c r="B1722" s="1" t="s">
        <v>12</v>
      </c>
      <c r="C1722" s="1" t="s">
        <v>22</v>
      </c>
      <c r="D1722" s="1" t="s">
        <v>25</v>
      </c>
      <c r="E1722" s="10">
        <v>8</v>
      </c>
      <c r="F1722" s="10">
        <v>1023</v>
      </c>
      <c r="G1722" s="1" t="s">
        <v>35</v>
      </c>
      <c r="H1722" s="10">
        <f t="shared" si="54"/>
        <v>8184</v>
      </c>
      <c r="I1722" s="7">
        <v>6465.4042033113901</v>
      </c>
      <c r="J1722" s="7">
        <f t="shared" si="55"/>
        <v>1718.5957966886099</v>
      </c>
      <c r="K1722" s="1">
        <f>IF(B1722="North",28.6,
IF(B1722="South",13,
IF(B1722="East",22.6,
IF(B1722="West",19,
23.5))))</f>
        <v>22.6</v>
      </c>
      <c r="L1722" s="1">
        <f>IF(B1722="North",77.2,
IF(B1722="South",80.2,
IF(B1722="East",88.4,
IF(B1722="West",72.8,
78.9))))</f>
        <v>88.4</v>
      </c>
    </row>
    <row r="1723" spans="1:12" x14ac:dyDescent="0.25">
      <c r="A1723" s="5">
        <v>45425</v>
      </c>
      <c r="B1723" s="1" t="s">
        <v>13</v>
      </c>
      <c r="C1723" s="1" t="s">
        <v>24</v>
      </c>
      <c r="D1723" s="1" t="s">
        <v>32</v>
      </c>
      <c r="E1723" s="10">
        <v>19</v>
      </c>
      <c r="F1723" s="10">
        <v>1022</v>
      </c>
      <c r="G1723" s="1" t="s">
        <v>35</v>
      </c>
      <c r="H1723" s="10">
        <f t="shared" si="54"/>
        <v>19418</v>
      </c>
      <c r="I1723" s="7">
        <v>16858.06665423065</v>
      </c>
      <c r="J1723" s="7">
        <f t="shared" si="55"/>
        <v>2559.9333457693501</v>
      </c>
      <c r="K1723" s="1">
        <f>IF(B1723="North",28.6,
IF(B1723="South",13,
IF(B1723="East",22.6,
IF(B1723="West",19,
23.5))))</f>
        <v>13</v>
      </c>
      <c r="L1723" s="1">
        <f>IF(B1723="North",77.2,
IF(B1723="South",80.2,
IF(B1723="East",88.4,
IF(B1723="West",72.8,
78.9))))</f>
        <v>80.2</v>
      </c>
    </row>
    <row r="1724" spans="1:12" x14ac:dyDescent="0.25">
      <c r="A1724" s="5">
        <v>45370</v>
      </c>
      <c r="B1724" s="1" t="s">
        <v>36</v>
      </c>
      <c r="C1724" s="1" t="s">
        <v>17</v>
      </c>
      <c r="D1724" s="1" t="s">
        <v>31</v>
      </c>
      <c r="E1724" s="10">
        <v>8</v>
      </c>
      <c r="F1724" s="10">
        <v>1942</v>
      </c>
      <c r="G1724" s="1" t="s">
        <v>33</v>
      </c>
      <c r="H1724" s="10">
        <f t="shared" si="54"/>
        <v>15536</v>
      </c>
      <c r="I1724" s="7">
        <v>12062.091261947869</v>
      </c>
      <c r="J1724" s="7">
        <f t="shared" si="55"/>
        <v>3473.9087380521305</v>
      </c>
      <c r="K1724" s="1">
        <f>IF(B1724="North",28.6,
IF(B1724="South",13,
IF(B1724="East",22.6,
IF(B1724="West",19,
23.5))))</f>
        <v>23.5</v>
      </c>
      <c r="L1724" s="1">
        <f>IF(B1724="North",77.2,
IF(B1724="South",80.2,
IF(B1724="East",88.4,
IF(B1724="West",72.8,
78.9))))</f>
        <v>78.900000000000006</v>
      </c>
    </row>
    <row r="1725" spans="1:12" x14ac:dyDescent="0.25">
      <c r="A1725" s="5">
        <v>45349</v>
      </c>
      <c r="B1725" s="1" t="s">
        <v>10</v>
      </c>
      <c r="C1725" s="1" t="s">
        <v>24</v>
      </c>
      <c r="D1725" s="1" t="s">
        <v>27</v>
      </c>
      <c r="E1725" s="10">
        <v>19</v>
      </c>
      <c r="F1725" s="10">
        <v>1955</v>
      </c>
      <c r="G1725" s="1" t="s">
        <v>35</v>
      </c>
      <c r="H1725" s="10">
        <f t="shared" si="54"/>
        <v>37145</v>
      </c>
      <c r="I1725" s="7">
        <v>29139.123407451541</v>
      </c>
      <c r="J1725" s="7">
        <f t="shared" si="55"/>
        <v>8005.8765925484586</v>
      </c>
      <c r="K1725" s="1">
        <f>IF(B1725="North",28.6,
IF(B1725="South",13,
IF(B1725="East",22.6,
IF(B1725="West",19,
23.5))))</f>
        <v>28.6</v>
      </c>
      <c r="L1725" s="1">
        <f>IF(B1725="North",77.2,
IF(B1725="South",80.2,
IF(B1725="East",88.4,
IF(B1725="West",72.8,
78.9))))</f>
        <v>77.2</v>
      </c>
    </row>
    <row r="1726" spans="1:12" x14ac:dyDescent="0.25">
      <c r="A1726" s="5">
        <v>45317</v>
      </c>
      <c r="B1726" s="1" t="s">
        <v>10</v>
      </c>
      <c r="C1726" s="1" t="s">
        <v>23</v>
      </c>
      <c r="D1726" s="1" t="s">
        <v>32</v>
      </c>
      <c r="E1726" s="10">
        <v>18</v>
      </c>
      <c r="F1726" s="10">
        <v>1175</v>
      </c>
      <c r="G1726" s="1" t="s">
        <v>34</v>
      </c>
      <c r="H1726" s="10">
        <f t="shared" si="54"/>
        <v>21150</v>
      </c>
      <c r="I1726" s="7">
        <v>17234.974146305369</v>
      </c>
      <c r="J1726" s="7">
        <f t="shared" si="55"/>
        <v>3915.0258536946312</v>
      </c>
      <c r="K1726" s="1">
        <f>IF(B1726="North",28.6,
IF(B1726="South",13,
IF(B1726="East",22.6,
IF(B1726="West",19,
23.5))))</f>
        <v>28.6</v>
      </c>
      <c r="L1726" s="1">
        <f>IF(B1726="North",77.2,
IF(B1726="South",80.2,
IF(B1726="East",88.4,
IF(B1726="West",72.8,
78.9))))</f>
        <v>77.2</v>
      </c>
    </row>
    <row r="1727" spans="1:12" x14ac:dyDescent="0.25">
      <c r="A1727" s="5">
        <v>45517</v>
      </c>
      <c r="B1727" s="1" t="s">
        <v>12</v>
      </c>
      <c r="C1727" s="1" t="s">
        <v>17</v>
      </c>
      <c r="D1727" s="1" t="s">
        <v>25</v>
      </c>
      <c r="E1727" s="10">
        <v>10</v>
      </c>
      <c r="F1727" s="10">
        <v>1332</v>
      </c>
      <c r="G1727" s="1" t="s">
        <v>33</v>
      </c>
      <c r="H1727" s="10">
        <f t="shared" si="54"/>
        <v>13320</v>
      </c>
      <c r="I1727" s="7">
        <v>11516.90259772426</v>
      </c>
      <c r="J1727" s="7">
        <f t="shared" si="55"/>
        <v>1803.09740227574</v>
      </c>
      <c r="K1727" s="1">
        <f>IF(B1727="North",28.6,
IF(B1727="South",13,
IF(B1727="East",22.6,
IF(B1727="West",19,
23.5))))</f>
        <v>22.6</v>
      </c>
      <c r="L1727" s="1">
        <f>IF(B1727="North",77.2,
IF(B1727="South",80.2,
IF(B1727="East",88.4,
IF(B1727="West",72.8,
78.9))))</f>
        <v>88.4</v>
      </c>
    </row>
    <row r="1728" spans="1:12" x14ac:dyDescent="0.25">
      <c r="A1728" s="5">
        <v>45576</v>
      </c>
      <c r="B1728" s="1" t="s">
        <v>11</v>
      </c>
      <c r="C1728" s="1" t="s">
        <v>17</v>
      </c>
      <c r="D1728" s="1" t="s">
        <v>29</v>
      </c>
      <c r="E1728" s="10">
        <v>7</v>
      </c>
      <c r="F1728" s="10">
        <v>1673</v>
      </c>
      <c r="G1728" s="1" t="s">
        <v>33</v>
      </c>
      <c r="H1728" s="10">
        <f t="shared" si="54"/>
        <v>11711</v>
      </c>
      <c r="I1728" s="7">
        <v>7336.4030091574887</v>
      </c>
      <c r="J1728" s="7">
        <f t="shared" si="55"/>
        <v>4374.5969908425113</v>
      </c>
      <c r="K1728" s="1">
        <f>IF(B1728="North",28.6,
IF(B1728="South",13,
IF(B1728="East",22.6,
IF(B1728="West",19,
23.5))))</f>
        <v>19</v>
      </c>
      <c r="L1728" s="1">
        <f>IF(B1728="North",77.2,
IF(B1728="South",80.2,
IF(B1728="East",88.4,
IF(B1728="West",72.8,
78.9))))</f>
        <v>72.8</v>
      </c>
    </row>
    <row r="1729" spans="1:12" x14ac:dyDescent="0.25">
      <c r="A1729" s="5">
        <v>45295</v>
      </c>
      <c r="B1729" s="1" t="s">
        <v>12</v>
      </c>
      <c r="C1729" s="1" t="s">
        <v>24</v>
      </c>
      <c r="D1729" s="1" t="s">
        <v>30</v>
      </c>
      <c r="E1729" s="10">
        <v>9</v>
      </c>
      <c r="F1729" s="10">
        <v>1735</v>
      </c>
      <c r="G1729" s="1" t="s">
        <v>35</v>
      </c>
      <c r="H1729" s="10">
        <f t="shared" si="54"/>
        <v>15615</v>
      </c>
      <c r="I1729" s="7">
        <v>10947.017775803881</v>
      </c>
      <c r="J1729" s="7">
        <f t="shared" si="55"/>
        <v>4667.9822241961192</v>
      </c>
      <c r="K1729" s="1">
        <f>IF(B1729="North",28.6,
IF(B1729="South",13,
IF(B1729="East",22.6,
IF(B1729="West",19,
23.5))))</f>
        <v>22.6</v>
      </c>
      <c r="L1729" s="1">
        <f>IF(B1729="North",77.2,
IF(B1729="South",80.2,
IF(B1729="East",88.4,
IF(B1729="West",72.8,
78.9))))</f>
        <v>88.4</v>
      </c>
    </row>
    <row r="1730" spans="1:12" x14ac:dyDescent="0.25">
      <c r="A1730" s="5">
        <v>45390</v>
      </c>
      <c r="B1730" s="1" t="s">
        <v>12</v>
      </c>
      <c r="C1730" s="1" t="s">
        <v>18</v>
      </c>
      <c r="D1730" s="1" t="s">
        <v>27</v>
      </c>
      <c r="E1730" s="10">
        <v>1</v>
      </c>
      <c r="F1730" s="10">
        <v>1828</v>
      </c>
      <c r="G1730" s="1" t="s">
        <v>34</v>
      </c>
      <c r="H1730" s="10">
        <f t="shared" si="54"/>
        <v>1828</v>
      </c>
      <c r="I1730" s="7">
        <v>1314.890303782603</v>
      </c>
      <c r="J1730" s="7">
        <f t="shared" si="55"/>
        <v>513.10969621739696</v>
      </c>
      <c r="K1730" s="1">
        <f>IF(B1730="North",28.6,
IF(B1730="South",13,
IF(B1730="East",22.6,
IF(B1730="West",19,
23.5))))</f>
        <v>22.6</v>
      </c>
      <c r="L1730" s="1">
        <f>IF(B1730="North",77.2,
IF(B1730="South",80.2,
IF(B1730="East",88.4,
IF(B1730="West",72.8,
78.9))))</f>
        <v>88.4</v>
      </c>
    </row>
    <row r="1731" spans="1:12" x14ac:dyDescent="0.25">
      <c r="A1731" s="5">
        <v>45330</v>
      </c>
      <c r="B1731" s="1" t="s">
        <v>11</v>
      </c>
      <c r="C1731" s="1" t="s">
        <v>19</v>
      </c>
      <c r="D1731" s="1" t="s">
        <v>29</v>
      </c>
      <c r="E1731" s="10">
        <v>19</v>
      </c>
      <c r="F1731" s="10">
        <v>1525</v>
      </c>
      <c r="G1731" s="1" t="s">
        <v>35</v>
      </c>
      <c r="H1731" s="10">
        <f t="shared" ref="H1731:H1794" si="56">E1731*F1731</f>
        <v>28975</v>
      </c>
      <c r="I1731" s="7">
        <v>25292.651266395431</v>
      </c>
      <c r="J1731" s="7">
        <f t="shared" ref="J1731:J1794" si="57">H1731-I1731</f>
        <v>3682.3487336045691</v>
      </c>
      <c r="K1731" s="1">
        <f>IF(B1731="North",28.6,
IF(B1731="South",13,
IF(B1731="East",22.6,
IF(B1731="West",19,
23.5))))</f>
        <v>19</v>
      </c>
      <c r="L1731" s="1">
        <f>IF(B1731="North",77.2,
IF(B1731="South",80.2,
IF(B1731="East",88.4,
IF(B1731="West",72.8,
78.9))))</f>
        <v>72.8</v>
      </c>
    </row>
    <row r="1732" spans="1:12" x14ac:dyDescent="0.25">
      <c r="A1732" s="5">
        <v>45562</v>
      </c>
      <c r="B1732" s="1" t="s">
        <v>11</v>
      </c>
      <c r="C1732" s="1" t="s">
        <v>40</v>
      </c>
      <c r="D1732" s="1" t="s">
        <v>32</v>
      </c>
      <c r="E1732" s="10">
        <v>5</v>
      </c>
      <c r="F1732" s="10">
        <v>1314</v>
      </c>
      <c r="G1732" s="1" t="s">
        <v>33</v>
      </c>
      <c r="H1732" s="10">
        <f t="shared" si="56"/>
        <v>6570</v>
      </c>
      <c r="I1732" s="7">
        <v>5826.2916192214334</v>
      </c>
      <c r="J1732" s="7">
        <f t="shared" si="57"/>
        <v>743.70838077856661</v>
      </c>
      <c r="K1732" s="1">
        <f>IF(B1732="North",28.6,
IF(B1732="South",13,
IF(B1732="East",22.6,
IF(B1732="West",19,
23.5))))</f>
        <v>19</v>
      </c>
      <c r="L1732" s="1">
        <f>IF(B1732="North",77.2,
IF(B1732="South",80.2,
IF(B1732="East",88.4,
IF(B1732="West",72.8,
78.9))))</f>
        <v>72.8</v>
      </c>
    </row>
    <row r="1733" spans="1:12" x14ac:dyDescent="0.25">
      <c r="A1733" s="5">
        <v>45576</v>
      </c>
      <c r="B1733" s="1" t="s">
        <v>36</v>
      </c>
      <c r="C1733" s="1" t="s">
        <v>18</v>
      </c>
      <c r="D1733" s="1" t="s">
        <v>36</v>
      </c>
      <c r="E1733" s="10">
        <v>19</v>
      </c>
      <c r="F1733" s="10">
        <v>1174</v>
      </c>
      <c r="G1733" s="1" t="s">
        <v>34</v>
      </c>
      <c r="H1733" s="10">
        <f t="shared" si="56"/>
        <v>22306</v>
      </c>
      <c r="I1733" s="7">
        <v>14189.16199344608</v>
      </c>
      <c r="J1733" s="7">
        <f t="shared" si="57"/>
        <v>8116.8380065539204</v>
      </c>
      <c r="K1733" s="1">
        <f>IF(B1733="North",28.6,
IF(B1733="South",13,
IF(B1733="East",22.6,
IF(B1733="West",19,
23.5))))</f>
        <v>23.5</v>
      </c>
      <c r="L1733" s="1">
        <f>IF(B1733="North",77.2,
IF(B1733="South",80.2,
IF(B1733="East",88.4,
IF(B1733="West",72.8,
78.9))))</f>
        <v>78.900000000000006</v>
      </c>
    </row>
    <row r="1734" spans="1:12" x14ac:dyDescent="0.25">
      <c r="A1734" s="5">
        <v>45448</v>
      </c>
      <c r="B1734" s="1" t="s">
        <v>13</v>
      </c>
      <c r="C1734" s="1" t="s">
        <v>22</v>
      </c>
      <c r="D1734" s="1" t="s">
        <v>27</v>
      </c>
      <c r="E1734" s="10">
        <v>1</v>
      </c>
      <c r="F1734" s="10">
        <v>1516</v>
      </c>
      <c r="G1734" s="1" t="s">
        <v>35</v>
      </c>
      <c r="H1734" s="10">
        <f t="shared" si="56"/>
        <v>1516</v>
      </c>
      <c r="I1734" s="7">
        <v>963.77017276793754</v>
      </c>
      <c r="J1734" s="7">
        <f t="shared" si="57"/>
        <v>552.22982723206246</v>
      </c>
      <c r="K1734" s="1">
        <f>IF(B1734="North",28.6,
IF(B1734="South",13,
IF(B1734="East",22.6,
IF(B1734="West",19,
23.5))))</f>
        <v>13</v>
      </c>
      <c r="L1734" s="1">
        <f>IF(B1734="North",77.2,
IF(B1734="South",80.2,
IF(B1734="East",88.4,
IF(B1734="West",72.8,
78.9))))</f>
        <v>80.2</v>
      </c>
    </row>
    <row r="1735" spans="1:12" x14ac:dyDescent="0.25">
      <c r="A1735" s="5">
        <v>45366</v>
      </c>
      <c r="B1735" s="1" t="s">
        <v>11</v>
      </c>
      <c r="C1735" s="1" t="s">
        <v>21</v>
      </c>
      <c r="D1735" s="1" t="s">
        <v>30</v>
      </c>
      <c r="E1735" s="10">
        <v>10</v>
      </c>
      <c r="F1735" s="10">
        <v>752</v>
      </c>
      <c r="G1735" s="1" t="s">
        <v>35</v>
      </c>
      <c r="H1735" s="10">
        <f t="shared" si="56"/>
        <v>7520</v>
      </c>
      <c r="I1735" s="7">
        <f>H1735*0.7</f>
        <v>5264</v>
      </c>
      <c r="J1735" s="7">
        <f t="shared" si="57"/>
        <v>2256</v>
      </c>
      <c r="K1735" s="1">
        <f>IF(B1735="North",28.6,
IF(B1735="South",13,
IF(B1735="East",22.6,
IF(B1735="West",19,
23.5))))</f>
        <v>19</v>
      </c>
      <c r="L1735" s="1">
        <f>IF(B1735="North",77.2,
IF(B1735="South",80.2,
IF(B1735="East",88.4,
IF(B1735="West",72.8,
78.9))))</f>
        <v>72.8</v>
      </c>
    </row>
    <row r="1736" spans="1:12" x14ac:dyDescent="0.25">
      <c r="A1736" s="5">
        <v>45579</v>
      </c>
      <c r="B1736" s="1" t="s">
        <v>10</v>
      </c>
      <c r="C1736" s="1" t="s">
        <v>20</v>
      </c>
      <c r="D1736" s="1" t="s">
        <v>30</v>
      </c>
      <c r="E1736" s="10">
        <v>16</v>
      </c>
      <c r="F1736" s="10">
        <v>1803</v>
      </c>
      <c r="G1736" s="1" t="s">
        <v>33</v>
      </c>
      <c r="H1736" s="10">
        <f t="shared" si="56"/>
        <v>28848</v>
      </c>
      <c r="I1736" s="7">
        <v>19868.52834332551</v>
      </c>
      <c r="J1736" s="7">
        <f t="shared" si="57"/>
        <v>8979.4716566744901</v>
      </c>
      <c r="K1736" s="1">
        <f>IF(B1736="North",28.6,
IF(B1736="South",13,
IF(B1736="East",22.6,
IF(B1736="West",19,
23.5))))</f>
        <v>28.6</v>
      </c>
      <c r="L1736" s="1">
        <f>IF(B1736="North",77.2,
IF(B1736="South",80.2,
IF(B1736="East",88.4,
IF(B1736="West",72.8,
78.9))))</f>
        <v>77.2</v>
      </c>
    </row>
    <row r="1737" spans="1:12" x14ac:dyDescent="0.25">
      <c r="A1737" s="5">
        <v>45421</v>
      </c>
      <c r="B1737" s="1" t="s">
        <v>12</v>
      </c>
      <c r="C1737" s="1" t="s">
        <v>22</v>
      </c>
      <c r="D1737" s="1" t="s">
        <v>27</v>
      </c>
      <c r="E1737" s="10">
        <v>10</v>
      </c>
      <c r="F1737" s="10">
        <v>1946</v>
      </c>
      <c r="G1737" s="1" t="s">
        <v>35</v>
      </c>
      <c r="H1737" s="10">
        <f t="shared" si="56"/>
        <v>19460</v>
      </c>
      <c r="I1737" s="7">
        <f>H1737*0.7</f>
        <v>13622</v>
      </c>
      <c r="J1737" s="7">
        <f t="shared" si="57"/>
        <v>5838</v>
      </c>
      <c r="K1737" s="1">
        <f>IF(B1737="North",28.6,
IF(B1737="South",13,
IF(B1737="East",22.6,
IF(B1737="West",19,
23.5))))</f>
        <v>22.6</v>
      </c>
      <c r="L1737" s="1">
        <f>IF(B1737="North",77.2,
IF(B1737="South",80.2,
IF(B1737="East",88.4,
IF(B1737="West",72.8,
78.9))))</f>
        <v>88.4</v>
      </c>
    </row>
    <row r="1738" spans="1:12" x14ac:dyDescent="0.25">
      <c r="A1738" s="5">
        <v>45466</v>
      </c>
      <c r="B1738" s="1" t="s">
        <v>13</v>
      </c>
      <c r="C1738" s="1" t="s">
        <v>18</v>
      </c>
      <c r="D1738" s="1" t="s">
        <v>27</v>
      </c>
      <c r="E1738" s="10">
        <v>12</v>
      </c>
      <c r="F1738" s="10">
        <v>720</v>
      </c>
      <c r="G1738" s="1" t="s">
        <v>34</v>
      </c>
      <c r="H1738" s="10">
        <f t="shared" si="56"/>
        <v>8640</v>
      </c>
      <c r="I1738" s="7">
        <v>5276.3344680346236</v>
      </c>
      <c r="J1738" s="7">
        <f t="shared" si="57"/>
        <v>3363.6655319653764</v>
      </c>
      <c r="K1738" s="1">
        <f>IF(B1738="North",28.6,
IF(B1738="South",13,
IF(B1738="East",22.6,
IF(B1738="West",19,
23.5))))</f>
        <v>13</v>
      </c>
      <c r="L1738" s="1">
        <f>IF(B1738="North",77.2,
IF(B1738="South",80.2,
IF(B1738="East",88.4,
IF(B1738="West",72.8,
78.9))))</f>
        <v>80.2</v>
      </c>
    </row>
    <row r="1739" spans="1:12" x14ac:dyDescent="0.25">
      <c r="A1739" s="5">
        <v>45375</v>
      </c>
      <c r="B1739" s="1" t="s">
        <v>11</v>
      </c>
      <c r="C1739" s="1" t="s">
        <v>18</v>
      </c>
      <c r="D1739" s="1" t="s">
        <v>30</v>
      </c>
      <c r="E1739" s="10">
        <v>8</v>
      </c>
      <c r="F1739" s="10">
        <v>1842</v>
      </c>
      <c r="G1739" s="1" t="s">
        <v>34</v>
      </c>
      <c r="H1739" s="10">
        <f t="shared" si="56"/>
        <v>14736</v>
      </c>
      <c r="I1739" s="7">
        <v>10059.954508434081</v>
      </c>
      <c r="J1739" s="7">
        <f t="shared" si="57"/>
        <v>4676.0454915659193</v>
      </c>
      <c r="K1739" s="1">
        <f>IF(B1739="North",28.6,
IF(B1739="South",13,
IF(B1739="East",22.6,
IF(B1739="West",19,
23.5))))</f>
        <v>19</v>
      </c>
      <c r="L1739" s="1">
        <f>IF(B1739="North",77.2,
IF(B1739="South",80.2,
IF(B1739="East",88.4,
IF(B1739="West",72.8,
78.9))))</f>
        <v>72.8</v>
      </c>
    </row>
    <row r="1740" spans="1:12" x14ac:dyDescent="0.25">
      <c r="A1740" s="5">
        <v>45313</v>
      </c>
      <c r="B1740" s="1" t="s">
        <v>13</v>
      </c>
      <c r="C1740" s="1" t="s">
        <v>22</v>
      </c>
      <c r="D1740" s="1" t="s">
        <v>29</v>
      </c>
      <c r="E1740" s="10">
        <v>5</v>
      </c>
      <c r="F1740" s="10">
        <v>1423</v>
      </c>
      <c r="G1740" s="1" t="s">
        <v>35</v>
      </c>
      <c r="H1740" s="10">
        <f t="shared" si="56"/>
        <v>7115</v>
      </c>
      <c r="I1740" s="7">
        <v>5749.3321589138714</v>
      </c>
      <c r="J1740" s="7">
        <f t="shared" si="57"/>
        <v>1365.6678410861286</v>
      </c>
      <c r="K1740" s="1">
        <f>IF(B1740="North",28.6,
IF(B1740="South",13,
IF(B1740="East",22.6,
IF(B1740="West",19,
23.5))))</f>
        <v>13</v>
      </c>
      <c r="L1740" s="1">
        <f>IF(B1740="North",77.2,
IF(B1740="South",80.2,
IF(B1740="East",88.4,
IF(B1740="West",72.8,
78.9))))</f>
        <v>80.2</v>
      </c>
    </row>
    <row r="1741" spans="1:12" x14ac:dyDescent="0.25">
      <c r="A1741" s="5">
        <v>45318</v>
      </c>
      <c r="B1741" s="1" t="s">
        <v>11</v>
      </c>
      <c r="C1741" s="1" t="s">
        <v>17</v>
      </c>
      <c r="D1741" s="1" t="s">
        <v>25</v>
      </c>
      <c r="E1741" s="10">
        <v>10</v>
      </c>
      <c r="F1741" s="10">
        <v>1745</v>
      </c>
      <c r="G1741" s="1" t="s">
        <v>33</v>
      </c>
      <c r="H1741" s="10">
        <f t="shared" si="56"/>
        <v>17450</v>
      </c>
      <c r="I1741" s="7">
        <v>12700.29931194161</v>
      </c>
      <c r="J1741" s="7">
        <f t="shared" si="57"/>
        <v>4749.7006880583904</v>
      </c>
      <c r="K1741" s="1">
        <f>IF(B1741="North",28.6,
IF(B1741="South",13,
IF(B1741="East",22.6,
IF(B1741="West",19,
23.5))))</f>
        <v>19</v>
      </c>
      <c r="L1741" s="1">
        <f>IF(B1741="North",77.2,
IF(B1741="South",80.2,
IF(B1741="East",88.4,
IF(B1741="West",72.8,
78.9))))</f>
        <v>72.8</v>
      </c>
    </row>
    <row r="1742" spans="1:12" x14ac:dyDescent="0.25">
      <c r="A1742" s="5">
        <v>45486</v>
      </c>
      <c r="B1742" s="1" t="s">
        <v>36</v>
      </c>
      <c r="C1742" s="1" t="s">
        <v>22</v>
      </c>
      <c r="D1742" s="1" t="s">
        <v>26</v>
      </c>
      <c r="E1742" s="10">
        <v>5</v>
      </c>
      <c r="F1742" s="10">
        <v>295</v>
      </c>
      <c r="G1742" s="1" t="s">
        <v>35</v>
      </c>
      <c r="H1742" s="10">
        <f t="shared" si="56"/>
        <v>1475</v>
      </c>
      <c r="I1742" s="7">
        <v>1113.7151306059041</v>
      </c>
      <c r="J1742" s="7">
        <f t="shared" si="57"/>
        <v>361.28486939409595</v>
      </c>
      <c r="K1742" s="1">
        <f>IF(B1742="North",28.6,
IF(B1742="South",13,
IF(B1742="East",22.6,
IF(B1742="West",19,
23.5))))</f>
        <v>23.5</v>
      </c>
      <c r="L1742" s="1">
        <f>IF(B1742="North",77.2,
IF(B1742="South",80.2,
IF(B1742="East",88.4,
IF(B1742="West",72.8,
78.9))))</f>
        <v>78.900000000000006</v>
      </c>
    </row>
    <row r="1743" spans="1:12" x14ac:dyDescent="0.25">
      <c r="A1743" s="5">
        <v>45628</v>
      </c>
      <c r="B1743" s="1" t="s">
        <v>12</v>
      </c>
      <c r="C1743" s="1" t="s">
        <v>21</v>
      </c>
      <c r="D1743" s="1" t="s">
        <v>27</v>
      </c>
      <c r="E1743" s="10">
        <v>17</v>
      </c>
      <c r="F1743" s="10">
        <v>516</v>
      </c>
      <c r="G1743" s="1" t="s">
        <v>35</v>
      </c>
      <c r="H1743" s="10">
        <f t="shared" si="56"/>
        <v>8772</v>
      </c>
      <c r="I1743" s="7">
        <v>7677.155092051732</v>
      </c>
      <c r="J1743" s="7">
        <f t="shared" si="57"/>
        <v>1094.844907948268</v>
      </c>
      <c r="K1743" s="1">
        <f>IF(B1743="North",28.6,
IF(B1743="South",13,
IF(B1743="East",22.6,
IF(B1743="West",19,
23.5))))</f>
        <v>22.6</v>
      </c>
      <c r="L1743" s="1">
        <f>IF(B1743="North",77.2,
IF(B1743="South",80.2,
IF(B1743="East",88.4,
IF(B1743="West",72.8,
78.9))))</f>
        <v>88.4</v>
      </c>
    </row>
    <row r="1744" spans="1:12" x14ac:dyDescent="0.25">
      <c r="A1744" s="5">
        <v>45527</v>
      </c>
      <c r="B1744" s="1" t="s">
        <v>12</v>
      </c>
      <c r="C1744" s="1" t="s">
        <v>18</v>
      </c>
      <c r="D1744" s="1" t="s">
        <v>32</v>
      </c>
      <c r="E1744" s="10">
        <v>5</v>
      </c>
      <c r="F1744" s="10">
        <v>763</v>
      </c>
      <c r="G1744" s="1" t="s">
        <v>34</v>
      </c>
      <c r="H1744" s="10">
        <f t="shared" si="56"/>
        <v>3815</v>
      </c>
      <c r="I1744" s="7">
        <v>2420.2624562673209</v>
      </c>
      <c r="J1744" s="7">
        <f t="shared" si="57"/>
        <v>1394.7375437326791</v>
      </c>
      <c r="K1744" s="1">
        <f>IF(B1744="North",28.6,
IF(B1744="South",13,
IF(B1744="East",22.6,
IF(B1744="West",19,
23.5))))</f>
        <v>22.6</v>
      </c>
      <c r="L1744" s="1">
        <f>IF(B1744="North",77.2,
IF(B1744="South",80.2,
IF(B1744="East",88.4,
IF(B1744="West",72.8,
78.9))))</f>
        <v>88.4</v>
      </c>
    </row>
    <row r="1745" spans="1:12" x14ac:dyDescent="0.25">
      <c r="A1745" s="5">
        <v>45383</v>
      </c>
      <c r="B1745" s="1" t="s">
        <v>10</v>
      </c>
      <c r="C1745" s="1" t="s">
        <v>22</v>
      </c>
      <c r="D1745" s="1" t="s">
        <v>28</v>
      </c>
      <c r="E1745" s="10">
        <v>15</v>
      </c>
      <c r="F1745" s="10">
        <v>1543</v>
      </c>
      <c r="G1745" s="1" t="s">
        <v>35</v>
      </c>
      <c r="H1745" s="10">
        <f t="shared" si="56"/>
        <v>23145</v>
      </c>
      <c r="I1745" s="7">
        <v>14381.65990628699</v>
      </c>
      <c r="J1745" s="7">
        <f t="shared" si="57"/>
        <v>8763.34009371301</v>
      </c>
      <c r="K1745" s="1">
        <f>IF(B1745="North",28.6,
IF(B1745="South",13,
IF(B1745="East",22.6,
IF(B1745="West",19,
23.5))))</f>
        <v>28.6</v>
      </c>
      <c r="L1745" s="1">
        <f>IF(B1745="North",77.2,
IF(B1745="South",80.2,
IF(B1745="East",88.4,
IF(B1745="West",72.8,
78.9))))</f>
        <v>77.2</v>
      </c>
    </row>
    <row r="1746" spans="1:12" x14ac:dyDescent="0.25">
      <c r="A1746" s="5">
        <v>45312</v>
      </c>
      <c r="B1746" s="1" t="s">
        <v>10</v>
      </c>
      <c r="C1746" s="1" t="s">
        <v>24</v>
      </c>
      <c r="D1746" s="1" t="s">
        <v>31</v>
      </c>
      <c r="E1746" s="10">
        <v>13</v>
      </c>
      <c r="F1746" s="10">
        <v>1878</v>
      </c>
      <c r="G1746" s="1" t="s">
        <v>35</v>
      </c>
      <c r="H1746" s="10">
        <f t="shared" si="56"/>
        <v>24414</v>
      </c>
      <c r="I1746" s="7">
        <v>20888.111192733231</v>
      </c>
      <c r="J1746" s="7">
        <f t="shared" si="57"/>
        <v>3525.8888072667687</v>
      </c>
      <c r="K1746" s="1">
        <f>IF(B1746="North",28.6,
IF(B1746="South",13,
IF(B1746="East",22.6,
IF(B1746="West",19,
23.5))))</f>
        <v>28.6</v>
      </c>
      <c r="L1746" s="1">
        <f>IF(B1746="North",77.2,
IF(B1746="South",80.2,
IF(B1746="East",88.4,
IF(B1746="West",72.8,
78.9))))</f>
        <v>77.2</v>
      </c>
    </row>
    <row r="1747" spans="1:12" x14ac:dyDescent="0.25">
      <c r="A1747" s="5">
        <v>45594</v>
      </c>
      <c r="B1747" s="1" t="s">
        <v>11</v>
      </c>
      <c r="C1747" s="1" t="s">
        <v>20</v>
      </c>
      <c r="D1747" s="1" t="s">
        <v>30</v>
      </c>
      <c r="E1747" s="10">
        <v>1</v>
      </c>
      <c r="F1747" s="10">
        <v>1763</v>
      </c>
      <c r="G1747" s="1" t="s">
        <v>33</v>
      </c>
      <c r="H1747" s="10">
        <f t="shared" si="56"/>
        <v>1763</v>
      </c>
      <c r="I1747" s="7">
        <v>1467.621231261101</v>
      </c>
      <c r="J1747" s="7">
        <f t="shared" si="57"/>
        <v>295.378768738899</v>
      </c>
      <c r="K1747" s="1">
        <f>IF(B1747="North",28.6,
IF(B1747="South",13,
IF(B1747="East",22.6,
IF(B1747="West",19,
23.5))))</f>
        <v>19</v>
      </c>
      <c r="L1747" s="1">
        <f>IF(B1747="North",77.2,
IF(B1747="South",80.2,
IF(B1747="East",88.4,
IF(B1747="West",72.8,
78.9))))</f>
        <v>72.8</v>
      </c>
    </row>
    <row r="1748" spans="1:12" x14ac:dyDescent="0.25">
      <c r="A1748" s="5">
        <v>45648</v>
      </c>
      <c r="B1748" s="1" t="s">
        <v>12</v>
      </c>
      <c r="C1748" s="1" t="s">
        <v>24</v>
      </c>
      <c r="D1748" s="1" t="s">
        <v>30</v>
      </c>
      <c r="E1748" s="10">
        <v>11</v>
      </c>
      <c r="F1748" s="10">
        <v>1740</v>
      </c>
      <c r="G1748" s="1" t="s">
        <v>35</v>
      </c>
      <c r="H1748" s="10">
        <f t="shared" si="56"/>
        <v>19140</v>
      </c>
      <c r="I1748" s="7">
        <v>12998.361701438371</v>
      </c>
      <c r="J1748" s="7">
        <f t="shared" si="57"/>
        <v>6141.6382985616292</v>
      </c>
      <c r="K1748" s="1">
        <f>IF(B1748="North",28.6,
IF(B1748="South",13,
IF(B1748="East",22.6,
IF(B1748="West",19,
23.5))))</f>
        <v>22.6</v>
      </c>
      <c r="L1748" s="1">
        <f>IF(B1748="North",77.2,
IF(B1748="South",80.2,
IF(B1748="East",88.4,
IF(B1748="West",72.8,
78.9))))</f>
        <v>88.4</v>
      </c>
    </row>
    <row r="1749" spans="1:12" x14ac:dyDescent="0.25">
      <c r="A1749" s="5">
        <v>45375</v>
      </c>
      <c r="B1749" s="1" t="s">
        <v>13</v>
      </c>
      <c r="C1749" s="1" t="s">
        <v>21</v>
      </c>
      <c r="D1749" s="1" t="s">
        <v>31</v>
      </c>
      <c r="E1749" s="10">
        <v>1</v>
      </c>
      <c r="F1749" s="10">
        <v>1645</v>
      </c>
      <c r="G1749" s="1" t="s">
        <v>35</v>
      </c>
      <c r="H1749" s="10">
        <f t="shared" si="56"/>
        <v>1645</v>
      </c>
      <c r="I1749" s="7">
        <v>1147.0095413656099</v>
      </c>
      <c r="J1749" s="7">
        <f t="shared" si="57"/>
        <v>497.99045863439005</v>
      </c>
      <c r="K1749" s="1">
        <f>IF(B1749="North",28.6,
IF(B1749="South",13,
IF(B1749="East",22.6,
IF(B1749="West",19,
23.5))))</f>
        <v>13</v>
      </c>
      <c r="L1749" s="1">
        <f>IF(B1749="North",77.2,
IF(B1749="South",80.2,
IF(B1749="East",88.4,
IF(B1749="West",72.8,
78.9))))</f>
        <v>80.2</v>
      </c>
    </row>
    <row r="1750" spans="1:12" x14ac:dyDescent="0.25">
      <c r="A1750" s="5">
        <v>45553</v>
      </c>
      <c r="B1750" s="1" t="s">
        <v>13</v>
      </c>
      <c r="C1750" s="1" t="s">
        <v>40</v>
      </c>
      <c r="D1750" s="1" t="s">
        <v>26</v>
      </c>
      <c r="E1750" s="10">
        <v>11</v>
      </c>
      <c r="F1750" s="10">
        <v>1479</v>
      </c>
      <c r="G1750" s="1" t="s">
        <v>35</v>
      </c>
      <c r="H1750" s="10">
        <f t="shared" si="56"/>
        <v>16269</v>
      </c>
      <c r="I1750" s="7">
        <v>11275.773033070271</v>
      </c>
      <c r="J1750" s="7">
        <f t="shared" si="57"/>
        <v>4993.2269669297293</v>
      </c>
      <c r="K1750" s="1">
        <f>IF(B1750="North",28.6,
IF(B1750="South",13,
IF(B1750="East",22.6,
IF(B1750="West",19,
23.5))))</f>
        <v>13</v>
      </c>
      <c r="L1750" s="1">
        <f>IF(B1750="North",77.2,
IF(B1750="South",80.2,
IF(B1750="East",88.4,
IF(B1750="West",72.8,
78.9))))</f>
        <v>80.2</v>
      </c>
    </row>
    <row r="1751" spans="1:12" x14ac:dyDescent="0.25">
      <c r="A1751" s="5">
        <v>45438</v>
      </c>
      <c r="B1751" s="1" t="s">
        <v>13</v>
      </c>
      <c r="C1751" s="1" t="s">
        <v>23</v>
      </c>
      <c r="D1751" s="1" t="s">
        <v>31</v>
      </c>
      <c r="E1751" s="10">
        <v>18</v>
      </c>
      <c r="F1751" s="10">
        <v>247</v>
      </c>
      <c r="G1751" s="1" t="s">
        <v>34</v>
      </c>
      <c r="H1751" s="10">
        <f t="shared" si="56"/>
        <v>4446</v>
      </c>
      <c r="I1751" s="7">
        <v>3531.6473748016251</v>
      </c>
      <c r="J1751" s="7">
        <f t="shared" si="57"/>
        <v>914.35262519837488</v>
      </c>
      <c r="K1751" s="1">
        <f>IF(B1751="North",28.6,
IF(B1751="South",13,
IF(B1751="East",22.6,
IF(B1751="West",19,
23.5))))</f>
        <v>13</v>
      </c>
      <c r="L1751" s="1">
        <f>IF(B1751="North",77.2,
IF(B1751="South",80.2,
IF(B1751="East",88.4,
IF(B1751="West",72.8,
78.9))))</f>
        <v>80.2</v>
      </c>
    </row>
    <row r="1752" spans="1:12" x14ac:dyDescent="0.25">
      <c r="A1752" s="5">
        <v>45548</v>
      </c>
      <c r="B1752" s="1" t="s">
        <v>10</v>
      </c>
      <c r="C1752" s="1" t="s">
        <v>21</v>
      </c>
      <c r="D1752" s="1" t="s">
        <v>27</v>
      </c>
      <c r="E1752" s="10">
        <v>18</v>
      </c>
      <c r="F1752" s="10">
        <v>1100</v>
      </c>
      <c r="G1752" s="1" t="s">
        <v>35</v>
      </c>
      <c r="H1752" s="10">
        <f t="shared" si="56"/>
        <v>19800</v>
      </c>
      <c r="I1752" s="7">
        <v>12243.596351514539</v>
      </c>
      <c r="J1752" s="7">
        <f t="shared" si="57"/>
        <v>7556.4036484854605</v>
      </c>
      <c r="K1752" s="1">
        <f>IF(B1752="North",28.6,
IF(B1752="South",13,
IF(B1752="East",22.6,
IF(B1752="West",19,
23.5))))</f>
        <v>28.6</v>
      </c>
      <c r="L1752" s="1">
        <f>IF(B1752="North",77.2,
IF(B1752="South",80.2,
IF(B1752="East",88.4,
IF(B1752="West",72.8,
78.9))))</f>
        <v>77.2</v>
      </c>
    </row>
    <row r="1753" spans="1:12" x14ac:dyDescent="0.25">
      <c r="A1753" s="5">
        <v>45349</v>
      </c>
      <c r="B1753" s="1" t="s">
        <v>13</v>
      </c>
      <c r="C1753" s="1" t="s">
        <v>17</v>
      </c>
      <c r="D1753" s="1" t="s">
        <v>31</v>
      </c>
      <c r="E1753" s="10">
        <v>16</v>
      </c>
      <c r="F1753" s="10">
        <v>1488</v>
      </c>
      <c r="G1753" s="1" t="s">
        <v>33</v>
      </c>
      <c r="H1753" s="10">
        <f t="shared" si="56"/>
        <v>23808</v>
      </c>
      <c r="I1753" s="7">
        <v>17780.30188258765</v>
      </c>
      <c r="J1753" s="7">
        <f t="shared" si="57"/>
        <v>6027.6981174123503</v>
      </c>
      <c r="K1753" s="1">
        <f>IF(B1753="North",28.6,
IF(B1753="South",13,
IF(B1753="East",22.6,
IF(B1753="West",19,
23.5))))</f>
        <v>13</v>
      </c>
      <c r="L1753" s="1">
        <f>IF(B1753="North",77.2,
IF(B1753="South",80.2,
IF(B1753="East",88.4,
IF(B1753="West",72.8,
78.9))))</f>
        <v>80.2</v>
      </c>
    </row>
    <row r="1754" spans="1:12" x14ac:dyDescent="0.25">
      <c r="A1754" s="5">
        <v>45306</v>
      </c>
      <c r="B1754" s="1" t="s">
        <v>10</v>
      </c>
      <c r="C1754" s="1" t="s">
        <v>24</v>
      </c>
      <c r="D1754" s="1" t="s">
        <v>30</v>
      </c>
      <c r="E1754" s="10">
        <v>13</v>
      </c>
      <c r="F1754" s="10">
        <v>1073.5</v>
      </c>
      <c r="G1754" s="1" t="s">
        <v>35</v>
      </c>
      <c r="H1754" s="10">
        <f t="shared" si="56"/>
        <v>13955.5</v>
      </c>
      <c r="I1754" s="7">
        <f>H1754*0.7</f>
        <v>9768.8499999999985</v>
      </c>
      <c r="J1754" s="7">
        <f t="shared" si="57"/>
        <v>4186.6500000000015</v>
      </c>
      <c r="K1754" s="1">
        <f>IF(B1754="North",28.6,
IF(B1754="South",13,
IF(B1754="East",22.6,
IF(B1754="West",19,
23.5))))</f>
        <v>28.6</v>
      </c>
      <c r="L1754" s="1">
        <f>IF(B1754="North",77.2,
IF(B1754="South",80.2,
IF(B1754="East",88.4,
IF(B1754="West",72.8,
78.9))))</f>
        <v>77.2</v>
      </c>
    </row>
    <row r="1755" spans="1:12" x14ac:dyDescent="0.25">
      <c r="A1755" s="5">
        <v>45453</v>
      </c>
      <c r="B1755" s="1" t="s">
        <v>10</v>
      </c>
      <c r="C1755" s="1" t="s">
        <v>24</v>
      </c>
      <c r="D1755" s="1" t="s">
        <v>31</v>
      </c>
      <c r="E1755" s="10">
        <v>7</v>
      </c>
      <c r="F1755" s="10">
        <v>1775</v>
      </c>
      <c r="G1755" s="1" t="s">
        <v>35</v>
      </c>
      <c r="H1755" s="10">
        <f t="shared" si="56"/>
        <v>12425</v>
      </c>
      <c r="I1755" s="7">
        <v>10510.575411302591</v>
      </c>
      <c r="J1755" s="7">
        <f t="shared" si="57"/>
        <v>1914.4245886974095</v>
      </c>
      <c r="K1755" s="1">
        <f>IF(B1755="North",28.6,
IF(B1755="South",13,
IF(B1755="East",22.6,
IF(B1755="West",19,
23.5))))</f>
        <v>28.6</v>
      </c>
      <c r="L1755" s="1">
        <f>IF(B1755="North",77.2,
IF(B1755="South",80.2,
IF(B1755="East",88.4,
IF(B1755="West",72.8,
78.9))))</f>
        <v>77.2</v>
      </c>
    </row>
    <row r="1756" spans="1:12" x14ac:dyDescent="0.25">
      <c r="A1756" s="5">
        <v>45454</v>
      </c>
      <c r="B1756" s="1" t="s">
        <v>11</v>
      </c>
      <c r="C1756" s="1" t="s">
        <v>19</v>
      </c>
      <c r="D1756" s="1" t="s">
        <v>28</v>
      </c>
      <c r="E1756" s="10">
        <v>1</v>
      </c>
      <c r="F1756" s="10">
        <v>1073.5</v>
      </c>
      <c r="G1756" s="1" t="s">
        <v>35</v>
      </c>
      <c r="H1756" s="10">
        <f t="shared" si="56"/>
        <v>1073.5</v>
      </c>
      <c r="I1756" s="7">
        <f>H1756*0.7</f>
        <v>751.44999999999993</v>
      </c>
      <c r="J1756" s="7">
        <f t="shared" si="57"/>
        <v>322.05000000000007</v>
      </c>
      <c r="K1756" s="1">
        <f>IF(B1756="North",28.6,
IF(B1756="South",13,
IF(B1756="East",22.6,
IF(B1756="West",19,
23.5))))</f>
        <v>19</v>
      </c>
      <c r="L1756" s="1">
        <f>IF(B1756="North",77.2,
IF(B1756="South",80.2,
IF(B1756="East",88.4,
IF(B1756="West",72.8,
78.9))))</f>
        <v>72.8</v>
      </c>
    </row>
    <row r="1757" spans="1:12" x14ac:dyDescent="0.25">
      <c r="A1757" s="5">
        <v>45611</v>
      </c>
      <c r="B1757" s="1" t="s">
        <v>13</v>
      </c>
      <c r="C1757" s="1" t="s">
        <v>22</v>
      </c>
      <c r="D1757" s="1" t="s">
        <v>32</v>
      </c>
      <c r="E1757" s="10">
        <v>16</v>
      </c>
      <c r="F1757" s="10">
        <v>501</v>
      </c>
      <c r="G1757" s="1" t="s">
        <v>35</v>
      </c>
      <c r="H1757" s="10">
        <f t="shared" si="56"/>
        <v>8016</v>
      </c>
      <c r="I1757" s="7">
        <v>6078.305610254155</v>
      </c>
      <c r="J1757" s="7">
        <f t="shared" si="57"/>
        <v>1937.694389745845</v>
      </c>
      <c r="K1757" s="1">
        <f>IF(B1757="North",28.6,
IF(B1757="South",13,
IF(B1757="East",22.6,
IF(B1757="West",19,
23.5))))</f>
        <v>13</v>
      </c>
      <c r="L1757" s="1">
        <f>IF(B1757="North",77.2,
IF(B1757="South",80.2,
IF(B1757="East",88.4,
IF(B1757="West",72.8,
78.9))))</f>
        <v>80.2</v>
      </c>
    </row>
    <row r="1758" spans="1:12" x14ac:dyDescent="0.25">
      <c r="A1758" s="5">
        <v>45572</v>
      </c>
      <c r="B1758" s="1" t="s">
        <v>13</v>
      </c>
      <c r="C1758" s="1" t="s">
        <v>17</v>
      </c>
      <c r="D1758" s="1" t="s">
        <v>27</v>
      </c>
      <c r="E1758" s="10">
        <v>1</v>
      </c>
      <c r="F1758" s="10">
        <v>705</v>
      </c>
      <c r="G1758" s="1" t="s">
        <v>33</v>
      </c>
      <c r="H1758" s="10">
        <f t="shared" si="56"/>
        <v>705</v>
      </c>
      <c r="I1758" s="7">
        <v>429.20067425671323</v>
      </c>
      <c r="J1758" s="7">
        <f t="shared" si="57"/>
        <v>275.79932574328677</v>
      </c>
      <c r="K1758" s="1">
        <f>IF(B1758="North",28.6,
IF(B1758="South",13,
IF(B1758="East",22.6,
IF(B1758="West",19,
23.5))))</f>
        <v>13</v>
      </c>
      <c r="L1758" s="1">
        <f>IF(B1758="North",77.2,
IF(B1758="South",80.2,
IF(B1758="East",88.4,
IF(B1758="West",72.8,
78.9))))</f>
        <v>80.2</v>
      </c>
    </row>
    <row r="1759" spans="1:12" x14ac:dyDescent="0.25">
      <c r="A1759" s="5">
        <v>45571</v>
      </c>
      <c r="B1759" s="1" t="s">
        <v>12</v>
      </c>
      <c r="C1759" s="1" t="s">
        <v>23</v>
      </c>
      <c r="D1759" s="1" t="s">
        <v>31</v>
      </c>
      <c r="E1759" s="10">
        <v>17</v>
      </c>
      <c r="F1759" s="10">
        <v>1615</v>
      </c>
      <c r="G1759" s="1" t="s">
        <v>34</v>
      </c>
      <c r="H1759" s="10">
        <f t="shared" si="56"/>
        <v>27455</v>
      </c>
      <c r="I1759" s="7">
        <v>16952.894018480882</v>
      </c>
      <c r="J1759" s="7">
        <f t="shared" si="57"/>
        <v>10502.105981519118</v>
      </c>
      <c r="K1759" s="1">
        <f>IF(B1759="North",28.6,
IF(B1759="South",13,
IF(B1759="East",22.6,
IF(B1759="West",19,
23.5))))</f>
        <v>22.6</v>
      </c>
      <c r="L1759" s="1">
        <f>IF(B1759="North",77.2,
IF(B1759="South",80.2,
IF(B1759="East",88.4,
IF(B1759="West",72.8,
78.9))))</f>
        <v>88.4</v>
      </c>
    </row>
    <row r="1760" spans="1:12" x14ac:dyDescent="0.25">
      <c r="A1760" s="5">
        <v>45303</v>
      </c>
      <c r="B1760" s="1" t="s">
        <v>11</v>
      </c>
      <c r="C1760" s="1" t="s">
        <v>24</v>
      </c>
      <c r="D1760" s="1" t="s">
        <v>30</v>
      </c>
      <c r="E1760" s="10">
        <v>6</v>
      </c>
      <c r="F1760" s="10">
        <v>1073.5</v>
      </c>
      <c r="G1760" s="1" t="s">
        <v>35</v>
      </c>
      <c r="H1760" s="10">
        <f t="shared" si="56"/>
        <v>6441</v>
      </c>
      <c r="I1760" s="7">
        <f>H1760*0.7</f>
        <v>4508.7</v>
      </c>
      <c r="J1760" s="7">
        <f t="shared" si="57"/>
        <v>1932.3000000000002</v>
      </c>
      <c r="K1760" s="1">
        <f>IF(B1760="North",28.6,
IF(B1760="South",13,
IF(B1760="East",22.6,
IF(B1760="West",19,
23.5))))</f>
        <v>19</v>
      </c>
      <c r="L1760" s="1">
        <f>IF(B1760="North",77.2,
IF(B1760="South",80.2,
IF(B1760="East",88.4,
IF(B1760="West",72.8,
78.9))))</f>
        <v>72.8</v>
      </c>
    </row>
    <row r="1761" spans="1:12" x14ac:dyDescent="0.25">
      <c r="A1761" s="5">
        <v>45565</v>
      </c>
      <c r="B1761" s="1" t="s">
        <v>12</v>
      </c>
      <c r="C1761" s="1" t="s">
        <v>24</v>
      </c>
      <c r="D1761" s="1" t="s">
        <v>29</v>
      </c>
      <c r="E1761" s="10">
        <v>2</v>
      </c>
      <c r="F1761" s="10">
        <v>1698</v>
      </c>
      <c r="G1761" s="1" t="s">
        <v>35</v>
      </c>
      <c r="H1761" s="10">
        <f t="shared" si="56"/>
        <v>3396</v>
      </c>
      <c r="I1761" s="7">
        <v>2818.7858313899892</v>
      </c>
      <c r="J1761" s="7">
        <f t="shared" si="57"/>
        <v>577.2141686100108</v>
      </c>
      <c r="K1761" s="1">
        <f>IF(B1761="North",28.6,
IF(B1761="South",13,
IF(B1761="East",22.6,
IF(B1761="West",19,
23.5))))</f>
        <v>22.6</v>
      </c>
      <c r="L1761" s="1">
        <f>IF(B1761="North",77.2,
IF(B1761="South",80.2,
IF(B1761="East",88.4,
IF(B1761="West",72.8,
78.9))))</f>
        <v>88.4</v>
      </c>
    </row>
    <row r="1762" spans="1:12" x14ac:dyDescent="0.25">
      <c r="A1762" s="5">
        <v>45562</v>
      </c>
      <c r="B1762" s="1" t="s">
        <v>11</v>
      </c>
      <c r="C1762" s="1" t="s">
        <v>17</v>
      </c>
      <c r="D1762" s="1" t="s">
        <v>32</v>
      </c>
      <c r="E1762" s="10">
        <v>17</v>
      </c>
      <c r="F1762" s="10">
        <v>1975</v>
      </c>
      <c r="G1762" s="1" t="s">
        <v>33</v>
      </c>
      <c r="H1762" s="10">
        <f t="shared" si="56"/>
        <v>33575</v>
      </c>
      <c r="I1762" s="7">
        <v>27296.833425905668</v>
      </c>
      <c r="J1762" s="7">
        <f t="shared" si="57"/>
        <v>6278.1665740943317</v>
      </c>
      <c r="K1762" s="1">
        <f>IF(B1762="North",28.6,
IF(B1762="South",13,
IF(B1762="East",22.6,
IF(B1762="West",19,
23.5))))</f>
        <v>19</v>
      </c>
      <c r="L1762" s="1">
        <f>IF(B1762="North",77.2,
IF(B1762="South",80.2,
IF(B1762="East",88.4,
IF(B1762="West",72.8,
78.9))))</f>
        <v>72.8</v>
      </c>
    </row>
    <row r="1763" spans="1:12" x14ac:dyDescent="0.25">
      <c r="A1763" s="5">
        <v>45499</v>
      </c>
      <c r="B1763" s="1" t="s">
        <v>13</v>
      </c>
      <c r="C1763" s="1" t="s">
        <v>21</v>
      </c>
      <c r="D1763" s="1" t="s">
        <v>27</v>
      </c>
      <c r="E1763" s="10">
        <v>6</v>
      </c>
      <c r="F1763" s="10">
        <v>636</v>
      </c>
      <c r="G1763" s="1" t="s">
        <v>35</v>
      </c>
      <c r="H1763" s="10">
        <f t="shared" si="56"/>
        <v>3816</v>
      </c>
      <c r="I1763" s="7">
        <v>3133.3389350169591</v>
      </c>
      <c r="J1763" s="7">
        <f t="shared" si="57"/>
        <v>682.66106498304089</v>
      </c>
      <c r="K1763" s="1">
        <f>IF(B1763="North",28.6,
IF(B1763="South",13,
IF(B1763="East",22.6,
IF(B1763="West",19,
23.5))))</f>
        <v>13</v>
      </c>
      <c r="L1763" s="1">
        <f>IF(B1763="North",77.2,
IF(B1763="South",80.2,
IF(B1763="East",88.4,
IF(B1763="West",72.8,
78.9))))</f>
        <v>80.2</v>
      </c>
    </row>
    <row r="1764" spans="1:12" x14ac:dyDescent="0.25">
      <c r="A1764" s="5">
        <v>45318</v>
      </c>
      <c r="B1764" s="1" t="s">
        <v>10</v>
      </c>
      <c r="C1764" s="1" t="s">
        <v>21</v>
      </c>
      <c r="D1764" s="1" t="s">
        <v>30</v>
      </c>
      <c r="E1764" s="10">
        <v>14</v>
      </c>
      <c r="F1764" s="10">
        <v>367</v>
      </c>
      <c r="G1764" s="1" t="s">
        <v>35</v>
      </c>
      <c r="H1764" s="10">
        <f t="shared" si="56"/>
        <v>5138</v>
      </c>
      <c r="I1764" s="7">
        <v>3244.0610376367349</v>
      </c>
      <c r="J1764" s="7">
        <f t="shared" si="57"/>
        <v>1893.9389623632651</v>
      </c>
      <c r="K1764" s="1">
        <f>IF(B1764="North",28.6,
IF(B1764="South",13,
IF(B1764="East",22.6,
IF(B1764="West",19,
23.5))))</f>
        <v>28.6</v>
      </c>
      <c r="L1764" s="1">
        <f>IF(B1764="North",77.2,
IF(B1764="South",80.2,
IF(B1764="East",88.4,
IF(B1764="West",72.8,
78.9))))</f>
        <v>77.2</v>
      </c>
    </row>
    <row r="1765" spans="1:12" x14ac:dyDescent="0.25">
      <c r="A1765" s="5">
        <v>45363</v>
      </c>
      <c r="B1765" s="1" t="s">
        <v>10</v>
      </c>
      <c r="C1765" s="1" t="s">
        <v>22</v>
      </c>
      <c r="D1765" s="1" t="s">
        <v>26</v>
      </c>
      <c r="E1765" s="10">
        <v>18</v>
      </c>
      <c r="F1765" s="10">
        <v>1528</v>
      </c>
      <c r="G1765" s="1" t="s">
        <v>35</v>
      </c>
      <c r="H1765" s="10">
        <f t="shared" si="56"/>
        <v>27504</v>
      </c>
      <c r="I1765" s="7">
        <v>22224.201580064029</v>
      </c>
      <c r="J1765" s="7">
        <f t="shared" si="57"/>
        <v>5279.7984199359707</v>
      </c>
      <c r="K1765" s="1">
        <f>IF(B1765="North",28.6,
IF(B1765="South",13,
IF(B1765="East",22.6,
IF(B1765="West",19,
23.5))))</f>
        <v>28.6</v>
      </c>
      <c r="L1765" s="1">
        <f>IF(B1765="North",77.2,
IF(B1765="South",80.2,
IF(B1765="East",88.4,
IF(B1765="West",72.8,
78.9))))</f>
        <v>77.2</v>
      </c>
    </row>
    <row r="1766" spans="1:12" x14ac:dyDescent="0.25">
      <c r="A1766" s="5">
        <v>45351</v>
      </c>
      <c r="B1766" s="1" t="s">
        <v>10</v>
      </c>
      <c r="C1766" s="1" t="s">
        <v>18</v>
      </c>
      <c r="D1766" s="1" t="s">
        <v>28</v>
      </c>
      <c r="E1766" s="10">
        <v>6</v>
      </c>
      <c r="F1766" s="10">
        <v>1916</v>
      </c>
      <c r="G1766" s="1" t="s">
        <v>34</v>
      </c>
      <c r="H1766" s="10">
        <f t="shared" si="56"/>
        <v>11496</v>
      </c>
      <c r="I1766" s="7">
        <v>7524.4110631781459</v>
      </c>
      <c r="J1766" s="7">
        <f t="shared" si="57"/>
        <v>3971.5889368218541</v>
      </c>
      <c r="K1766" s="1">
        <f>IF(B1766="North",28.6,
IF(B1766="South",13,
IF(B1766="East",22.6,
IF(B1766="West",19,
23.5))))</f>
        <v>28.6</v>
      </c>
      <c r="L1766" s="1">
        <f>IF(B1766="North",77.2,
IF(B1766="South",80.2,
IF(B1766="East",88.4,
IF(B1766="West",72.8,
78.9))))</f>
        <v>77.2</v>
      </c>
    </row>
    <row r="1767" spans="1:12" x14ac:dyDescent="0.25">
      <c r="A1767" s="5">
        <v>45436</v>
      </c>
      <c r="B1767" s="1" t="s">
        <v>10</v>
      </c>
      <c r="C1767" s="1" t="s">
        <v>19</v>
      </c>
      <c r="D1767" s="1" t="s">
        <v>25</v>
      </c>
      <c r="E1767" s="10">
        <v>10</v>
      </c>
      <c r="F1767" s="10">
        <v>1134</v>
      </c>
      <c r="G1767" s="1" t="s">
        <v>35</v>
      </c>
      <c r="H1767" s="10">
        <f t="shared" si="56"/>
        <v>11340</v>
      </c>
      <c r="I1767" s="7">
        <v>7137.4484992448233</v>
      </c>
      <c r="J1767" s="7">
        <f t="shared" si="57"/>
        <v>4202.5515007551767</v>
      </c>
      <c r="K1767" s="1">
        <f>IF(B1767="North",28.6,
IF(B1767="South",13,
IF(B1767="East",22.6,
IF(B1767="West",19,
23.5))))</f>
        <v>28.6</v>
      </c>
      <c r="L1767" s="1">
        <f>IF(B1767="North",77.2,
IF(B1767="South",80.2,
IF(B1767="East",88.4,
IF(B1767="West",72.8,
78.9))))</f>
        <v>77.2</v>
      </c>
    </row>
    <row r="1768" spans="1:12" x14ac:dyDescent="0.25">
      <c r="A1768" s="5">
        <v>45384</v>
      </c>
      <c r="B1768" s="1" t="s">
        <v>10</v>
      </c>
      <c r="C1768" s="1" t="s">
        <v>24</v>
      </c>
      <c r="D1768" s="1" t="s">
        <v>26</v>
      </c>
      <c r="E1768" s="10">
        <v>18</v>
      </c>
      <c r="F1768" s="10">
        <v>1443</v>
      </c>
      <c r="G1768" s="1" t="s">
        <v>35</v>
      </c>
      <c r="H1768" s="10">
        <f t="shared" si="56"/>
        <v>25974</v>
      </c>
      <c r="I1768" s="7">
        <v>21484.348623070211</v>
      </c>
      <c r="J1768" s="7">
        <f t="shared" si="57"/>
        <v>4489.651376929789</v>
      </c>
      <c r="K1768" s="1">
        <f>IF(B1768="North",28.6,
IF(B1768="South",13,
IF(B1768="East",22.6,
IF(B1768="West",19,
23.5))))</f>
        <v>28.6</v>
      </c>
      <c r="L1768" s="1">
        <f>IF(B1768="North",77.2,
IF(B1768="South",80.2,
IF(B1768="East",88.4,
IF(B1768="West",72.8,
78.9))))</f>
        <v>77.2</v>
      </c>
    </row>
    <row r="1769" spans="1:12" x14ac:dyDescent="0.25">
      <c r="A1769" s="5">
        <v>45600</v>
      </c>
      <c r="B1769" s="1" t="s">
        <v>12</v>
      </c>
      <c r="C1769" s="1" t="s">
        <v>18</v>
      </c>
      <c r="D1769" s="1" t="s">
        <v>25</v>
      </c>
      <c r="E1769" s="10">
        <v>9</v>
      </c>
      <c r="F1769" s="10">
        <v>1836</v>
      </c>
      <c r="G1769" s="1" t="s">
        <v>34</v>
      </c>
      <c r="H1769" s="10">
        <f t="shared" si="56"/>
        <v>16524</v>
      </c>
      <c r="I1769" s="7">
        <v>14323.36400369588</v>
      </c>
      <c r="J1769" s="7">
        <f t="shared" si="57"/>
        <v>2200.6359963041195</v>
      </c>
      <c r="K1769" s="1">
        <f>IF(B1769="North",28.6,
IF(B1769="South",13,
IF(B1769="East",22.6,
IF(B1769="West",19,
23.5))))</f>
        <v>22.6</v>
      </c>
      <c r="L1769" s="1">
        <f>IF(B1769="North",77.2,
IF(B1769="South",80.2,
IF(B1769="East",88.4,
IF(B1769="West",72.8,
78.9))))</f>
        <v>88.4</v>
      </c>
    </row>
    <row r="1770" spans="1:12" x14ac:dyDescent="0.25">
      <c r="A1770" s="5">
        <v>45299</v>
      </c>
      <c r="B1770" s="1" t="s">
        <v>11</v>
      </c>
      <c r="C1770" s="1" t="s">
        <v>18</v>
      </c>
      <c r="D1770" s="1" t="s">
        <v>28</v>
      </c>
      <c r="E1770" s="10">
        <v>8</v>
      </c>
      <c r="F1770" s="10">
        <v>225</v>
      </c>
      <c r="G1770" s="1" t="s">
        <v>34</v>
      </c>
      <c r="H1770" s="10">
        <f t="shared" si="56"/>
        <v>1800</v>
      </c>
      <c r="I1770" s="7">
        <v>1467.023349998786</v>
      </c>
      <c r="J1770" s="7">
        <f t="shared" si="57"/>
        <v>332.97665000121401</v>
      </c>
      <c r="K1770" s="1">
        <f>IF(B1770="North",28.6,
IF(B1770="South",13,
IF(B1770="East",22.6,
IF(B1770="West",19,
23.5))))</f>
        <v>19</v>
      </c>
      <c r="L1770" s="1">
        <f>IF(B1770="North",77.2,
IF(B1770="South",80.2,
IF(B1770="East",88.4,
IF(B1770="West",72.8,
78.9))))</f>
        <v>72.8</v>
      </c>
    </row>
    <row r="1771" spans="1:12" x14ac:dyDescent="0.25">
      <c r="A1771" s="5">
        <v>45370</v>
      </c>
      <c r="B1771" s="1" t="s">
        <v>13</v>
      </c>
      <c r="C1771" s="1" t="s">
        <v>19</v>
      </c>
      <c r="D1771" s="1" t="s">
        <v>31</v>
      </c>
      <c r="E1771" s="10">
        <v>10</v>
      </c>
      <c r="F1771" s="10">
        <v>405</v>
      </c>
      <c r="G1771" s="1" t="s">
        <v>35</v>
      </c>
      <c r="H1771" s="10">
        <f t="shared" si="56"/>
        <v>4050</v>
      </c>
      <c r="I1771" s="7">
        <v>3408.771745169925</v>
      </c>
      <c r="J1771" s="7">
        <f t="shared" si="57"/>
        <v>641.228254830075</v>
      </c>
      <c r="K1771" s="1">
        <f>IF(B1771="North",28.6,
IF(B1771="South",13,
IF(B1771="East",22.6,
IF(B1771="West",19,
23.5))))</f>
        <v>13</v>
      </c>
      <c r="L1771" s="1">
        <f>IF(B1771="North",77.2,
IF(B1771="South",80.2,
IF(B1771="East",88.4,
IF(B1771="West",72.8,
78.9))))</f>
        <v>80.2</v>
      </c>
    </row>
    <row r="1772" spans="1:12" x14ac:dyDescent="0.25">
      <c r="A1772" s="5">
        <v>45318</v>
      </c>
      <c r="B1772" s="1" t="s">
        <v>12</v>
      </c>
      <c r="C1772" s="1" t="s">
        <v>18</v>
      </c>
      <c r="D1772" s="1" t="s">
        <v>27</v>
      </c>
      <c r="E1772" s="10">
        <v>17</v>
      </c>
      <c r="F1772" s="10">
        <v>1825</v>
      </c>
      <c r="G1772" s="1" t="s">
        <v>34</v>
      </c>
      <c r="H1772" s="10">
        <f t="shared" si="56"/>
        <v>31025</v>
      </c>
      <c r="I1772" s="7">
        <v>27839.553003794441</v>
      </c>
      <c r="J1772" s="7">
        <f t="shared" si="57"/>
        <v>3185.4469962055591</v>
      </c>
      <c r="K1772" s="1">
        <f>IF(B1772="North",28.6,
IF(B1772="South",13,
IF(B1772="East",22.6,
IF(B1772="West",19,
23.5))))</f>
        <v>22.6</v>
      </c>
      <c r="L1772" s="1">
        <f>IF(B1772="North",77.2,
IF(B1772="South",80.2,
IF(B1772="East",88.4,
IF(B1772="West",72.8,
78.9))))</f>
        <v>88.4</v>
      </c>
    </row>
    <row r="1773" spans="1:12" x14ac:dyDescent="0.25">
      <c r="A1773" s="5">
        <v>45465</v>
      </c>
      <c r="B1773" s="1" t="s">
        <v>11</v>
      </c>
      <c r="C1773" s="1" t="s">
        <v>18</v>
      </c>
      <c r="D1773" s="1" t="s">
        <v>31</v>
      </c>
      <c r="E1773" s="10">
        <v>6</v>
      </c>
      <c r="F1773" s="10">
        <v>1634</v>
      </c>
      <c r="G1773" s="1" t="s">
        <v>34</v>
      </c>
      <c r="H1773" s="10">
        <f t="shared" si="56"/>
        <v>9804</v>
      </c>
      <c r="I1773" s="7">
        <v>6278.7440866293409</v>
      </c>
      <c r="J1773" s="7">
        <f t="shared" si="57"/>
        <v>3525.2559133706591</v>
      </c>
      <c r="K1773" s="1">
        <f>IF(B1773="North",28.6,
IF(B1773="South",13,
IF(B1773="East",22.6,
IF(B1773="West",19,
23.5))))</f>
        <v>19</v>
      </c>
      <c r="L1773" s="1">
        <f>IF(B1773="North",77.2,
IF(B1773="South",80.2,
IF(B1773="East",88.4,
IF(B1773="West",72.8,
78.9))))</f>
        <v>72.8</v>
      </c>
    </row>
    <row r="1774" spans="1:12" x14ac:dyDescent="0.25">
      <c r="A1774" s="5">
        <v>45341</v>
      </c>
      <c r="B1774" s="1" t="s">
        <v>10</v>
      </c>
      <c r="C1774" s="1" t="s">
        <v>21</v>
      </c>
      <c r="D1774" s="1" t="s">
        <v>28</v>
      </c>
      <c r="E1774" s="10">
        <v>14</v>
      </c>
      <c r="F1774" s="10">
        <v>1212</v>
      </c>
      <c r="G1774" s="1" t="s">
        <v>35</v>
      </c>
      <c r="H1774" s="10">
        <f t="shared" si="56"/>
        <v>16968</v>
      </c>
      <c r="I1774" s="7">
        <v>15093.812552905139</v>
      </c>
      <c r="J1774" s="7">
        <f t="shared" si="57"/>
        <v>1874.1874470948605</v>
      </c>
      <c r="K1774" s="1">
        <f>IF(B1774="North",28.6,
IF(B1774="South",13,
IF(B1774="East",22.6,
IF(B1774="West",19,
23.5))))</f>
        <v>28.6</v>
      </c>
      <c r="L1774" s="1">
        <f>IF(B1774="North",77.2,
IF(B1774="South",80.2,
IF(B1774="East",88.4,
IF(B1774="West",72.8,
78.9))))</f>
        <v>77.2</v>
      </c>
    </row>
    <row r="1775" spans="1:12" x14ac:dyDescent="0.25">
      <c r="A1775" s="5">
        <v>45490</v>
      </c>
      <c r="B1775" s="1" t="s">
        <v>11</v>
      </c>
      <c r="C1775" s="1" t="s">
        <v>21</v>
      </c>
      <c r="D1775" s="1" t="s">
        <v>28</v>
      </c>
      <c r="E1775" s="10">
        <v>6</v>
      </c>
      <c r="F1775" s="10">
        <v>1478</v>
      </c>
      <c r="G1775" s="1" t="s">
        <v>35</v>
      </c>
      <c r="H1775" s="10">
        <f t="shared" si="56"/>
        <v>8868</v>
      </c>
      <c r="I1775" s="7">
        <v>6920.2266417258679</v>
      </c>
      <c r="J1775" s="7">
        <f t="shared" si="57"/>
        <v>1947.7733582741321</v>
      </c>
      <c r="K1775" s="1">
        <f>IF(B1775="North",28.6,
IF(B1775="South",13,
IF(B1775="East",22.6,
IF(B1775="West",19,
23.5))))</f>
        <v>19</v>
      </c>
      <c r="L1775" s="1">
        <f>IF(B1775="North",77.2,
IF(B1775="South",80.2,
IF(B1775="East",88.4,
IF(B1775="West",72.8,
78.9))))</f>
        <v>72.8</v>
      </c>
    </row>
    <row r="1776" spans="1:12" x14ac:dyDescent="0.25">
      <c r="A1776" s="5">
        <v>45640</v>
      </c>
      <c r="B1776" s="1" t="s">
        <v>11</v>
      </c>
      <c r="C1776" s="1" t="s">
        <v>20</v>
      </c>
      <c r="D1776" s="1" t="s">
        <v>28</v>
      </c>
      <c r="E1776" s="10">
        <v>7</v>
      </c>
      <c r="F1776" s="10">
        <v>727</v>
      </c>
      <c r="G1776" s="1" t="s">
        <v>33</v>
      </c>
      <c r="H1776" s="10">
        <f t="shared" si="56"/>
        <v>5089</v>
      </c>
      <c r="I1776" s="7">
        <v>4294.9935953186432</v>
      </c>
      <c r="J1776" s="7">
        <f t="shared" si="57"/>
        <v>794.0064046813568</v>
      </c>
      <c r="K1776" s="1">
        <f>IF(B1776="North",28.6,
IF(B1776="South",13,
IF(B1776="East",22.6,
IF(B1776="West",19,
23.5))))</f>
        <v>19</v>
      </c>
      <c r="L1776" s="1">
        <f>IF(B1776="North",77.2,
IF(B1776="South",80.2,
IF(B1776="East",88.4,
IF(B1776="West",72.8,
78.9))))</f>
        <v>72.8</v>
      </c>
    </row>
    <row r="1777" spans="1:12" x14ac:dyDescent="0.25">
      <c r="A1777" s="5">
        <v>45472</v>
      </c>
      <c r="B1777" s="1" t="s">
        <v>10</v>
      </c>
      <c r="C1777" s="1" t="s">
        <v>23</v>
      </c>
      <c r="D1777" s="1" t="s">
        <v>25</v>
      </c>
      <c r="E1777" s="10">
        <v>12</v>
      </c>
      <c r="F1777" s="10">
        <v>1475</v>
      </c>
      <c r="G1777" s="1" t="s">
        <v>34</v>
      </c>
      <c r="H1777" s="10">
        <f t="shared" si="56"/>
        <v>17700</v>
      </c>
      <c r="I1777" s="7">
        <v>14072.39835423053</v>
      </c>
      <c r="J1777" s="7">
        <f t="shared" si="57"/>
        <v>3627.6016457694695</v>
      </c>
      <c r="K1777" s="1">
        <f>IF(B1777="North",28.6,
IF(B1777="South",13,
IF(B1777="East",22.6,
IF(B1777="West",19,
23.5))))</f>
        <v>28.6</v>
      </c>
      <c r="L1777" s="1">
        <f>IF(B1777="North",77.2,
IF(B1777="South",80.2,
IF(B1777="East",88.4,
IF(B1777="West",72.8,
78.9))))</f>
        <v>77.2</v>
      </c>
    </row>
    <row r="1778" spans="1:12" x14ac:dyDescent="0.25">
      <c r="A1778" s="5">
        <v>45315</v>
      </c>
      <c r="B1778" s="1" t="s">
        <v>10</v>
      </c>
      <c r="C1778" s="1" t="s">
        <v>22</v>
      </c>
      <c r="D1778" s="1" t="s">
        <v>32</v>
      </c>
      <c r="E1778" s="10">
        <v>3</v>
      </c>
      <c r="F1778" s="10">
        <v>788</v>
      </c>
      <c r="G1778" s="1" t="s">
        <v>35</v>
      </c>
      <c r="H1778" s="10">
        <f t="shared" si="56"/>
        <v>2364</v>
      </c>
      <c r="I1778" s="7">
        <v>1822.6707998065699</v>
      </c>
      <c r="J1778" s="7">
        <f t="shared" si="57"/>
        <v>541.3292001934301</v>
      </c>
      <c r="K1778" s="1">
        <f>IF(B1778="North",28.6,
IF(B1778="South",13,
IF(B1778="East",22.6,
IF(B1778="West",19,
23.5))))</f>
        <v>28.6</v>
      </c>
      <c r="L1778" s="1">
        <f>IF(B1778="North",77.2,
IF(B1778="South",80.2,
IF(B1778="East",88.4,
IF(B1778="West",72.8,
78.9))))</f>
        <v>77.2</v>
      </c>
    </row>
    <row r="1779" spans="1:12" x14ac:dyDescent="0.25">
      <c r="A1779" s="5">
        <v>45607</v>
      </c>
      <c r="B1779" s="1" t="s">
        <v>10</v>
      </c>
      <c r="C1779" s="1" t="s">
        <v>18</v>
      </c>
      <c r="D1779" s="1" t="s">
        <v>30</v>
      </c>
      <c r="E1779" s="10">
        <v>14</v>
      </c>
      <c r="F1779" s="10">
        <v>1137</v>
      </c>
      <c r="G1779" s="1" t="s">
        <v>34</v>
      </c>
      <c r="H1779" s="10">
        <f t="shared" si="56"/>
        <v>15918</v>
      </c>
      <c r="I1779" s="7">
        <v>12910.862144051171</v>
      </c>
      <c r="J1779" s="7">
        <f t="shared" si="57"/>
        <v>3007.1378559488294</v>
      </c>
      <c r="K1779" s="1">
        <f>IF(B1779="North",28.6,
IF(B1779="South",13,
IF(B1779="East",22.6,
IF(B1779="West",19,
23.5))))</f>
        <v>28.6</v>
      </c>
      <c r="L1779" s="1">
        <f>IF(B1779="North",77.2,
IF(B1779="South",80.2,
IF(B1779="East",88.4,
IF(B1779="West",72.8,
78.9))))</f>
        <v>77.2</v>
      </c>
    </row>
    <row r="1780" spans="1:12" x14ac:dyDescent="0.25">
      <c r="A1780" s="5">
        <v>45337</v>
      </c>
      <c r="B1780" s="1" t="s">
        <v>13</v>
      </c>
      <c r="C1780" s="1" t="s">
        <v>20</v>
      </c>
      <c r="D1780" s="1" t="s">
        <v>27</v>
      </c>
      <c r="E1780" s="10">
        <v>19</v>
      </c>
      <c r="F1780" s="10">
        <v>1380</v>
      </c>
      <c r="G1780" s="1" t="s">
        <v>33</v>
      </c>
      <c r="H1780" s="10">
        <f t="shared" si="56"/>
        <v>26220</v>
      </c>
      <c r="I1780" s="7">
        <v>18251.154655059119</v>
      </c>
      <c r="J1780" s="7">
        <f t="shared" si="57"/>
        <v>7968.8453449408808</v>
      </c>
      <c r="K1780" s="1">
        <f>IF(B1780="North",28.6,
IF(B1780="South",13,
IF(B1780="East",22.6,
IF(B1780="West",19,
23.5))))</f>
        <v>13</v>
      </c>
      <c r="L1780" s="1">
        <f>IF(B1780="North",77.2,
IF(B1780="South",80.2,
IF(B1780="East",88.4,
IF(B1780="West",72.8,
78.9))))</f>
        <v>80.2</v>
      </c>
    </row>
    <row r="1781" spans="1:12" x14ac:dyDescent="0.25">
      <c r="A1781" s="5">
        <v>45306</v>
      </c>
      <c r="B1781" s="1" t="s">
        <v>10</v>
      </c>
      <c r="C1781" s="1" t="s">
        <v>23</v>
      </c>
      <c r="D1781" s="1" t="s">
        <v>31</v>
      </c>
      <c r="E1781" s="10">
        <v>16</v>
      </c>
      <c r="F1781" s="10">
        <v>1332</v>
      </c>
      <c r="G1781" s="1" t="s">
        <v>34</v>
      </c>
      <c r="H1781" s="10">
        <f t="shared" si="56"/>
        <v>21312</v>
      </c>
      <c r="I1781" s="7">
        <v>18696.622412597892</v>
      </c>
      <c r="J1781" s="7">
        <f t="shared" si="57"/>
        <v>2615.3775874021085</v>
      </c>
      <c r="K1781" s="1">
        <f>IF(B1781="North",28.6,
IF(B1781="South",13,
IF(B1781="East",22.6,
IF(B1781="West",19,
23.5))))</f>
        <v>28.6</v>
      </c>
      <c r="L1781" s="1">
        <f>IF(B1781="North",77.2,
IF(B1781="South",80.2,
IF(B1781="East",88.4,
IF(B1781="West",72.8,
78.9))))</f>
        <v>77.2</v>
      </c>
    </row>
    <row r="1782" spans="1:12" x14ac:dyDescent="0.25">
      <c r="A1782" s="5">
        <v>45444</v>
      </c>
      <c r="B1782" s="1" t="s">
        <v>13</v>
      </c>
      <c r="C1782" s="1" t="s">
        <v>20</v>
      </c>
      <c r="D1782" s="1" t="s">
        <v>31</v>
      </c>
      <c r="E1782" s="10">
        <v>7</v>
      </c>
      <c r="F1782" s="10">
        <v>380</v>
      </c>
      <c r="G1782" s="1" t="s">
        <v>33</v>
      </c>
      <c r="H1782" s="10">
        <f t="shared" si="56"/>
        <v>2660</v>
      </c>
      <c r="I1782" s="7">
        <v>1688.003472500511</v>
      </c>
      <c r="J1782" s="7">
        <f t="shared" si="57"/>
        <v>971.99652749948905</v>
      </c>
      <c r="K1782" s="1">
        <f>IF(B1782="North",28.6,
IF(B1782="South",13,
IF(B1782="East",22.6,
IF(B1782="West",19,
23.5))))</f>
        <v>13</v>
      </c>
      <c r="L1782" s="1">
        <f>IF(B1782="North",77.2,
IF(B1782="South",80.2,
IF(B1782="East",88.4,
IF(B1782="West",72.8,
78.9))))</f>
        <v>80.2</v>
      </c>
    </row>
    <row r="1783" spans="1:12" x14ac:dyDescent="0.25">
      <c r="A1783" s="5">
        <v>45513</v>
      </c>
      <c r="B1783" s="1" t="s">
        <v>10</v>
      </c>
      <c r="C1783" s="1" t="s">
        <v>20</v>
      </c>
      <c r="D1783" s="1" t="s">
        <v>26</v>
      </c>
      <c r="E1783" s="10">
        <v>8</v>
      </c>
      <c r="F1783" s="10">
        <v>542</v>
      </c>
      <c r="G1783" s="1" t="s">
        <v>33</v>
      </c>
      <c r="H1783" s="10">
        <f t="shared" si="56"/>
        <v>4336</v>
      </c>
      <c r="I1783" s="7">
        <v>3015.29496425967</v>
      </c>
      <c r="J1783" s="7">
        <f t="shared" si="57"/>
        <v>1320.70503574033</v>
      </c>
      <c r="K1783" s="1">
        <f>IF(B1783="North",28.6,
IF(B1783="South",13,
IF(B1783="East",22.6,
IF(B1783="West",19,
23.5))))</f>
        <v>28.6</v>
      </c>
      <c r="L1783" s="1">
        <f>IF(B1783="North",77.2,
IF(B1783="South",80.2,
IF(B1783="East",88.4,
IF(B1783="West",72.8,
78.9))))</f>
        <v>77.2</v>
      </c>
    </row>
    <row r="1784" spans="1:12" x14ac:dyDescent="0.25">
      <c r="A1784" s="5">
        <v>45497</v>
      </c>
      <c r="B1784" s="1" t="s">
        <v>13</v>
      </c>
      <c r="C1784" s="1" t="s">
        <v>22</v>
      </c>
      <c r="D1784" s="1" t="s">
        <v>25</v>
      </c>
      <c r="E1784" s="10">
        <v>18</v>
      </c>
      <c r="F1784" s="10">
        <v>1963</v>
      </c>
      <c r="G1784" s="1" t="s">
        <v>35</v>
      </c>
      <c r="H1784" s="10">
        <f t="shared" si="56"/>
        <v>35334</v>
      </c>
      <c r="I1784" s="7">
        <v>21530.72717639598</v>
      </c>
      <c r="J1784" s="7">
        <f t="shared" si="57"/>
        <v>13803.27282360402</v>
      </c>
      <c r="K1784" s="1">
        <f>IF(B1784="North",28.6,
IF(B1784="South",13,
IF(B1784="East",22.6,
IF(B1784="West",19,
23.5))))</f>
        <v>13</v>
      </c>
      <c r="L1784" s="1">
        <f>IF(B1784="North",77.2,
IF(B1784="South",80.2,
IF(B1784="East",88.4,
IF(B1784="West",72.8,
78.9))))</f>
        <v>80.2</v>
      </c>
    </row>
    <row r="1785" spans="1:12" x14ac:dyDescent="0.25">
      <c r="A1785" s="5">
        <v>45564</v>
      </c>
      <c r="B1785" s="1" t="s">
        <v>11</v>
      </c>
      <c r="C1785" s="1" t="s">
        <v>22</v>
      </c>
      <c r="D1785" s="1" t="s">
        <v>36</v>
      </c>
      <c r="E1785" s="10">
        <v>13</v>
      </c>
      <c r="F1785" s="10">
        <v>936</v>
      </c>
      <c r="G1785" s="1" t="s">
        <v>35</v>
      </c>
      <c r="H1785" s="10">
        <f t="shared" si="56"/>
        <v>12168</v>
      </c>
      <c r="I1785" s="7">
        <v>8291.237653127293</v>
      </c>
      <c r="J1785" s="7">
        <f t="shared" si="57"/>
        <v>3876.762346872707</v>
      </c>
      <c r="K1785" s="1">
        <f>IF(B1785="North",28.6,
IF(B1785="South",13,
IF(B1785="East",22.6,
IF(B1785="West",19,
23.5))))</f>
        <v>19</v>
      </c>
      <c r="L1785" s="1">
        <f>IF(B1785="North",77.2,
IF(B1785="South",80.2,
IF(B1785="East",88.4,
IF(B1785="West",72.8,
78.9))))</f>
        <v>72.8</v>
      </c>
    </row>
    <row r="1786" spans="1:12" x14ac:dyDescent="0.25">
      <c r="A1786" s="5">
        <v>45527</v>
      </c>
      <c r="B1786" s="1" t="s">
        <v>12</v>
      </c>
      <c r="C1786" s="1" t="s">
        <v>17</v>
      </c>
      <c r="D1786" s="1" t="s">
        <v>29</v>
      </c>
      <c r="E1786" s="10">
        <v>9</v>
      </c>
      <c r="F1786" s="10">
        <v>488</v>
      </c>
      <c r="G1786" s="1" t="s">
        <v>33</v>
      </c>
      <c r="H1786" s="10">
        <f t="shared" si="56"/>
        <v>4392</v>
      </c>
      <c r="I1786" s="7">
        <v>2922.717550441515</v>
      </c>
      <c r="J1786" s="7">
        <f t="shared" si="57"/>
        <v>1469.282449558485</v>
      </c>
      <c r="K1786" s="1">
        <f>IF(B1786="North",28.6,
IF(B1786="South",13,
IF(B1786="East",22.6,
IF(B1786="West",19,
23.5))))</f>
        <v>22.6</v>
      </c>
      <c r="L1786" s="1">
        <f>IF(B1786="North",77.2,
IF(B1786="South",80.2,
IF(B1786="East",88.4,
IF(B1786="West",72.8,
78.9))))</f>
        <v>88.4</v>
      </c>
    </row>
    <row r="1787" spans="1:12" x14ac:dyDescent="0.25">
      <c r="A1787" s="5">
        <v>45631</v>
      </c>
      <c r="B1787" s="1" t="s">
        <v>11</v>
      </c>
      <c r="C1787" s="1" t="s">
        <v>19</v>
      </c>
      <c r="D1787" s="1" t="s">
        <v>28</v>
      </c>
      <c r="E1787" s="10">
        <v>10</v>
      </c>
      <c r="F1787" s="10">
        <v>716</v>
      </c>
      <c r="G1787" s="1" t="s">
        <v>35</v>
      </c>
      <c r="H1787" s="10">
        <f t="shared" si="56"/>
        <v>7160</v>
      </c>
      <c r="I1787" s="7">
        <v>4402.6070887376991</v>
      </c>
      <c r="J1787" s="7">
        <f t="shared" si="57"/>
        <v>2757.3929112623009</v>
      </c>
      <c r="K1787" s="1">
        <f>IF(B1787="North",28.6,
IF(B1787="South",13,
IF(B1787="East",22.6,
IF(B1787="West",19,
23.5))))</f>
        <v>19</v>
      </c>
      <c r="L1787" s="1">
        <f>IF(B1787="North",77.2,
IF(B1787="South",80.2,
IF(B1787="East",88.4,
IF(B1787="West",72.8,
78.9))))</f>
        <v>72.8</v>
      </c>
    </row>
    <row r="1788" spans="1:12" x14ac:dyDescent="0.25">
      <c r="A1788" s="5">
        <v>45519</v>
      </c>
      <c r="B1788" s="1" t="s">
        <v>11</v>
      </c>
      <c r="C1788" s="1" t="s">
        <v>19</v>
      </c>
      <c r="D1788" s="1" t="s">
        <v>28</v>
      </c>
      <c r="E1788" s="10">
        <v>9</v>
      </c>
      <c r="F1788" s="10">
        <v>1606</v>
      </c>
      <c r="G1788" s="1" t="s">
        <v>35</v>
      </c>
      <c r="H1788" s="10">
        <f t="shared" si="56"/>
        <v>14454</v>
      </c>
      <c r="I1788" s="7">
        <v>10804.83069566039</v>
      </c>
      <c r="J1788" s="7">
        <f t="shared" si="57"/>
        <v>3649.1693043396099</v>
      </c>
      <c r="K1788" s="1">
        <f>IF(B1788="North",28.6,
IF(B1788="South",13,
IF(B1788="East",22.6,
IF(B1788="West",19,
23.5))))</f>
        <v>19</v>
      </c>
      <c r="L1788" s="1">
        <f>IF(B1788="North",77.2,
IF(B1788="South",80.2,
IF(B1788="East",88.4,
IF(B1788="West",72.8,
78.9))))</f>
        <v>72.8</v>
      </c>
    </row>
    <row r="1789" spans="1:12" x14ac:dyDescent="0.25">
      <c r="A1789" s="5">
        <v>45300</v>
      </c>
      <c r="B1789" s="1" t="s">
        <v>10</v>
      </c>
      <c r="C1789" s="1" t="s">
        <v>17</v>
      </c>
      <c r="D1789" s="1" t="s">
        <v>29</v>
      </c>
      <c r="E1789" s="10">
        <v>15</v>
      </c>
      <c r="F1789" s="10">
        <v>246</v>
      </c>
      <c r="G1789" s="1" t="s">
        <v>33</v>
      </c>
      <c r="H1789" s="10">
        <f t="shared" si="56"/>
        <v>3690</v>
      </c>
      <c r="I1789" s="7">
        <v>2732.7800983341599</v>
      </c>
      <c r="J1789" s="7">
        <f t="shared" si="57"/>
        <v>957.2199016658401</v>
      </c>
      <c r="K1789" s="1">
        <f>IF(B1789="North",28.6,
IF(B1789="South",13,
IF(B1789="East",22.6,
IF(B1789="West",19,
23.5))))</f>
        <v>28.6</v>
      </c>
      <c r="L1789" s="1">
        <f>IF(B1789="North",77.2,
IF(B1789="South",80.2,
IF(B1789="East",88.4,
IF(B1789="West",72.8,
78.9))))</f>
        <v>77.2</v>
      </c>
    </row>
    <row r="1790" spans="1:12" x14ac:dyDescent="0.25">
      <c r="A1790" s="5">
        <v>45457</v>
      </c>
      <c r="B1790" s="1" t="s">
        <v>13</v>
      </c>
      <c r="C1790" s="1" t="s">
        <v>22</v>
      </c>
      <c r="D1790" s="1" t="s">
        <v>31</v>
      </c>
      <c r="E1790" s="10">
        <v>2</v>
      </c>
      <c r="F1790" s="10">
        <v>1402</v>
      </c>
      <c r="G1790" s="1" t="s">
        <v>33</v>
      </c>
      <c r="H1790" s="10">
        <f t="shared" si="56"/>
        <v>2804</v>
      </c>
      <c r="I1790" s="7">
        <v>1747.7994674075601</v>
      </c>
      <c r="J1790" s="7">
        <f t="shared" si="57"/>
        <v>1056.2005325924399</v>
      </c>
      <c r="K1790" s="1">
        <f>IF(B1790="North",28.6,
IF(B1790="South",13,
IF(B1790="East",22.6,
IF(B1790="West",19,
23.5))))</f>
        <v>13</v>
      </c>
      <c r="L1790" s="1">
        <f>IF(B1790="North",77.2,
IF(B1790="South",80.2,
IF(B1790="East",88.4,
IF(B1790="West",72.8,
78.9))))</f>
        <v>80.2</v>
      </c>
    </row>
    <row r="1791" spans="1:12" x14ac:dyDescent="0.25">
      <c r="A1791" s="5">
        <v>45610</v>
      </c>
      <c r="B1791" s="1" t="s">
        <v>12</v>
      </c>
      <c r="C1791" s="1" t="s">
        <v>21</v>
      </c>
      <c r="D1791" s="1" t="s">
        <v>26</v>
      </c>
      <c r="E1791" s="10">
        <v>13</v>
      </c>
      <c r="F1791" s="10">
        <v>620</v>
      </c>
      <c r="G1791" s="1" t="s">
        <v>35</v>
      </c>
      <c r="H1791" s="10">
        <f t="shared" si="56"/>
        <v>8060</v>
      </c>
      <c r="I1791" s="7">
        <v>5469.1545849455451</v>
      </c>
      <c r="J1791" s="7">
        <f t="shared" si="57"/>
        <v>2590.8454150544549</v>
      </c>
      <c r="K1791" s="1">
        <f>IF(B1791="North",28.6,
IF(B1791="South",13,
IF(B1791="East",22.6,
IF(B1791="West",19,
23.5))))</f>
        <v>22.6</v>
      </c>
      <c r="L1791" s="1">
        <f>IF(B1791="North",77.2,
IF(B1791="South",80.2,
IF(B1791="East",88.4,
IF(B1791="West",72.8,
78.9))))</f>
        <v>88.4</v>
      </c>
    </row>
    <row r="1792" spans="1:12" x14ac:dyDescent="0.25">
      <c r="A1792" s="5">
        <v>45505</v>
      </c>
      <c r="B1792" s="1" t="s">
        <v>10</v>
      </c>
      <c r="C1792" s="1" t="s">
        <v>23</v>
      </c>
      <c r="D1792" s="1" t="s">
        <v>30</v>
      </c>
      <c r="E1792" s="10">
        <v>2</v>
      </c>
      <c r="F1792" s="10">
        <v>729</v>
      </c>
      <c r="G1792" s="1" t="s">
        <v>34</v>
      </c>
      <c r="H1792" s="10">
        <f t="shared" si="56"/>
        <v>1458</v>
      </c>
      <c r="I1792" s="7">
        <v>1291.7831129879839</v>
      </c>
      <c r="J1792" s="7">
        <f t="shared" si="57"/>
        <v>166.21688701201606</v>
      </c>
      <c r="K1792" s="1">
        <f>IF(B1792="North",28.6,
IF(B1792="South",13,
IF(B1792="East",22.6,
IF(B1792="West",19,
23.5))))</f>
        <v>28.6</v>
      </c>
      <c r="L1792" s="1">
        <f>IF(B1792="North",77.2,
IF(B1792="South",80.2,
IF(B1792="East",88.4,
IF(B1792="West",72.8,
78.9))))</f>
        <v>77.2</v>
      </c>
    </row>
    <row r="1793" spans="1:12" x14ac:dyDescent="0.25">
      <c r="A1793" s="5">
        <v>45408</v>
      </c>
      <c r="B1793" s="1" t="s">
        <v>10</v>
      </c>
      <c r="C1793" s="1" t="s">
        <v>20</v>
      </c>
      <c r="D1793" s="1" t="s">
        <v>29</v>
      </c>
      <c r="E1793" s="10">
        <v>19</v>
      </c>
      <c r="F1793" s="10">
        <v>1729</v>
      </c>
      <c r="G1793" s="1" t="s">
        <v>33</v>
      </c>
      <c r="H1793" s="10">
        <f t="shared" si="56"/>
        <v>32851</v>
      </c>
      <c r="I1793" s="7">
        <v>20801.942655537539</v>
      </c>
      <c r="J1793" s="7">
        <f t="shared" si="57"/>
        <v>12049.057344462461</v>
      </c>
      <c r="K1793" s="1">
        <f>IF(B1793="North",28.6,
IF(B1793="South",13,
IF(B1793="East",22.6,
IF(B1793="West",19,
23.5))))</f>
        <v>28.6</v>
      </c>
      <c r="L1793" s="1">
        <f>IF(B1793="North",77.2,
IF(B1793="South",80.2,
IF(B1793="East",88.4,
IF(B1793="West",72.8,
78.9))))</f>
        <v>77.2</v>
      </c>
    </row>
    <row r="1794" spans="1:12" x14ac:dyDescent="0.25">
      <c r="A1794" s="5">
        <v>45635</v>
      </c>
      <c r="B1794" s="1" t="s">
        <v>10</v>
      </c>
      <c r="C1794" s="1" t="s">
        <v>18</v>
      </c>
      <c r="D1794" s="1" t="s">
        <v>25</v>
      </c>
      <c r="E1794" s="10">
        <v>2</v>
      </c>
      <c r="F1794" s="10">
        <v>533</v>
      </c>
      <c r="G1794" s="1" t="s">
        <v>34</v>
      </c>
      <c r="H1794" s="10">
        <f t="shared" si="56"/>
        <v>1066</v>
      </c>
      <c r="I1794" s="7">
        <v>737.1449639052579</v>
      </c>
      <c r="J1794" s="7">
        <f t="shared" si="57"/>
        <v>328.8550360947421</v>
      </c>
      <c r="K1794" s="1">
        <f>IF(B1794="North",28.6,
IF(B1794="South",13,
IF(B1794="East",22.6,
IF(B1794="West",19,
23.5))))</f>
        <v>28.6</v>
      </c>
      <c r="L1794" s="1">
        <f>IF(B1794="North",77.2,
IF(B1794="South",80.2,
IF(B1794="East",88.4,
IF(B1794="West",72.8,
78.9))))</f>
        <v>77.2</v>
      </c>
    </row>
    <row r="1795" spans="1:12" x14ac:dyDescent="0.25">
      <c r="A1795" s="5">
        <v>45363</v>
      </c>
      <c r="B1795" s="1" t="s">
        <v>11</v>
      </c>
      <c r="C1795" s="1" t="s">
        <v>17</v>
      </c>
      <c r="D1795" s="1" t="s">
        <v>32</v>
      </c>
      <c r="E1795" s="10">
        <v>3</v>
      </c>
      <c r="F1795" s="10">
        <v>243</v>
      </c>
      <c r="G1795" s="1" t="s">
        <v>33</v>
      </c>
      <c r="H1795" s="10">
        <f t="shared" ref="H1795:H1858" si="58">E1795*F1795</f>
        <v>729</v>
      </c>
      <c r="I1795" s="7">
        <v>445.24310654203379</v>
      </c>
      <c r="J1795" s="7">
        <f t="shared" ref="J1795:J1858" si="59">H1795-I1795</f>
        <v>283.75689345796621</v>
      </c>
      <c r="K1795" s="1">
        <f>IF(B1795="North",28.6,
IF(B1795="South",13,
IF(B1795="East",22.6,
IF(B1795="West",19,
23.5))))</f>
        <v>19</v>
      </c>
      <c r="L1795" s="1">
        <f>IF(B1795="North",77.2,
IF(B1795="South",80.2,
IF(B1795="East",88.4,
IF(B1795="West",72.8,
78.9))))</f>
        <v>72.8</v>
      </c>
    </row>
    <row r="1796" spans="1:12" x14ac:dyDescent="0.25">
      <c r="A1796" s="5">
        <v>45355</v>
      </c>
      <c r="B1796" s="1" t="s">
        <v>13</v>
      </c>
      <c r="C1796" s="1" t="s">
        <v>24</v>
      </c>
      <c r="D1796" s="1" t="s">
        <v>27</v>
      </c>
      <c r="E1796" s="10">
        <v>6</v>
      </c>
      <c r="F1796" s="10">
        <v>388</v>
      </c>
      <c r="G1796" s="1" t="s">
        <v>35</v>
      </c>
      <c r="H1796" s="10">
        <f t="shared" si="58"/>
        <v>2328</v>
      </c>
      <c r="I1796" s="7">
        <v>1500.7828223124391</v>
      </c>
      <c r="J1796" s="7">
        <f t="shared" si="59"/>
        <v>827.21717768756093</v>
      </c>
      <c r="K1796" s="1">
        <f>IF(B1796="North",28.6,
IF(B1796="South",13,
IF(B1796="East",22.6,
IF(B1796="West",19,
23.5))))</f>
        <v>13</v>
      </c>
      <c r="L1796" s="1">
        <f>IF(B1796="North",77.2,
IF(B1796="South",80.2,
IF(B1796="East",88.4,
IF(B1796="West",72.8,
78.9))))</f>
        <v>80.2</v>
      </c>
    </row>
    <row r="1797" spans="1:12" x14ac:dyDescent="0.25">
      <c r="A1797" s="5">
        <v>45496</v>
      </c>
      <c r="B1797" s="1" t="s">
        <v>13</v>
      </c>
      <c r="C1797" s="1" t="s">
        <v>19</v>
      </c>
      <c r="D1797" s="1" t="s">
        <v>25</v>
      </c>
      <c r="E1797" s="10">
        <v>3</v>
      </c>
      <c r="F1797" s="10">
        <v>1509</v>
      </c>
      <c r="G1797" s="1" t="s">
        <v>35</v>
      </c>
      <c r="H1797" s="10">
        <f t="shared" si="58"/>
        <v>4527</v>
      </c>
      <c r="I1797" s="7">
        <v>3666.0512116492891</v>
      </c>
      <c r="J1797" s="7">
        <f t="shared" si="59"/>
        <v>860.94878835071086</v>
      </c>
      <c r="K1797" s="1">
        <f>IF(B1797="North",28.6,
IF(B1797="South",13,
IF(B1797="East",22.6,
IF(B1797="West",19,
23.5))))</f>
        <v>13</v>
      </c>
      <c r="L1797" s="1">
        <f>IF(B1797="North",77.2,
IF(B1797="South",80.2,
IF(B1797="East",88.4,
IF(B1797="West",72.8,
78.9))))</f>
        <v>80.2</v>
      </c>
    </row>
    <row r="1798" spans="1:12" x14ac:dyDescent="0.25">
      <c r="A1798" s="5">
        <v>45500</v>
      </c>
      <c r="B1798" s="1" t="s">
        <v>12</v>
      </c>
      <c r="C1798" s="1" t="s">
        <v>17</v>
      </c>
      <c r="D1798" s="1" t="s">
        <v>29</v>
      </c>
      <c r="E1798" s="10">
        <v>10</v>
      </c>
      <c r="F1798" s="10">
        <v>113</v>
      </c>
      <c r="G1798" s="1" t="s">
        <v>33</v>
      </c>
      <c r="H1798" s="10">
        <f t="shared" si="58"/>
        <v>1130</v>
      </c>
      <c r="I1798" s="7">
        <v>802.31689372473625</v>
      </c>
      <c r="J1798" s="7">
        <f t="shared" si="59"/>
        <v>327.68310627526375</v>
      </c>
      <c r="K1798" s="1">
        <f>IF(B1798="North",28.6,
IF(B1798="South",13,
IF(B1798="East",22.6,
IF(B1798="West",19,
23.5))))</f>
        <v>22.6</v>
      </c>
      <c r="L1798" s="1">
        <f>IF(B1798="North",77.2,
IF(B1798="South",80.2,
IF(B1798="East",88.4,
IF(B1798="West",72.8,
78.9))))</f>
        <v>88.4</v>
      </c>
    </row>
    <row r="1799" spans="1:12" x14ac:dyDescent="0.25">
      <c r="A1799" s="5">
        <v>45363</v>
      </c>
      <c r="B1799" s="1" t="s">
        <v>13</v>
      </c>
      <c r="C1799" s="1" t="s">
        <v>40</v>
      </c>
      <c r="D1799" s="1" t="s">
        <v>30</v>
      </c>
      <c r="E1799" s="10">
        <v>6</v>
      </c>
      <c r="F1799" s="10">
        <v>356</v>
      </c>
      <c r="G1799" s="1" t="s">
        <v>35</v>
      </c>
      <c r="H1799" s="10">
        <f t="shared" si="58"/>
        <v>2136</v>
      </c>
      <c r="I1799" s="7">
        <v>1571.29066649118</v>
      </c>
      <c r="J1799" s="7">
        <f t="shared" si="59"/>
        <v>564.70933350882001</v>
      </c>
      <c r="K1799" s="1">
        <f>IF(B1799="North",28.6,
IF(B1799="South",13,
IF(B1799="East",22.6,
IF(B1799="West",19,
23.5))))</f>
        <v>13</v>
      </c>
      <c r="L1799" s="1">
        <f>IF(B1799="North",77.2,
IF(B1799="South",80.2,
IF(B1799="East",88.4,
IF(B1799="West",72.8,
78.9))))</f>
        <v>80.2</v>
      </c>
    </row>
    <row r="1800" spans="1:12" x14ac:dyDescent="0.25">
      <c r="A1800" s="5">
        <v>45568</v>
      </c>
      <c r="B1800" s="1" t="s">
        <v>13</v>
      </c>
      <c r="C1800" s="1" t="s">
        <v>24</v>
      </c>
      <c r="D1800" s="1" t="s">
        <v>31</v>
      </c>
      <c r="E1800" s="10">
        <v>16</v>
      </c>
      <c r="F1800" s="10">
        <v>1469</v>
      </c>
      <c r="G1800" s="1" t="s">
        <v>35</v>
      </c>
      <c r="H1800" s="10">
        <f t="shared" si="58"/>
        <v>23504</v>
      </c>
      <c r="I1800" s="7">
        <v>15209.28605974528</v>
      </c>
      <c r="J1800" s="7">
        <f t="shared" si="59"/>
        <v>8294.71394025472</v>
      </c>
      <c r="K1800" s="1">
        <f>IF(B1800="North",28.6,
IF(B1800="South",13,
IF(B1800="East",22.6,
IF(B1800="West",19,
23.5))))</f>
        <v>13</v>
      </c>
      <c r="L1800" s="1">
        <f>IF(B1800="North",77.2,
IF(B1800="South",80.2,
IF(B1800="East",88.4,
IF(B1800="West",72.8,
78.9))))</f>
        <v>80.2</v>
      </c>
    </row>
    <row r="1801" spans="1:12" x14ac:dyDescent="0.25">
      <c r="A1801" s="5">
        <v>45565</v>
      </c>
      <c r="B1801" s="1" t="s">
        <v>10</v>
      </c>
      <c r="C1801" s="1" t="s">
        <v>24</v>
      </c>
      <c r="D1801" s="1" t="s">
        <v>32</v>
      </c>
      <c r="E1801" s="10">
        <v>17</v>
      </c>
      <c r="F1801" s="10">
        <v>1821</v>
      </c>
      <c r="G1801" s="1" t="s">
        <v>35</v>
      </c>
      <c r="H1801" s="10">
        <f t="shared" si="58"/>
        <v>30957</v>
      </c>
      <c r="I1801" s="7">
        <v>24909.303999658801</v>
      </c>
      <c r="J1801" s="7">
        <f t="shared" si="59"/>
        <v>6047.6960003411987</v>
      </c>
      <c r="K1801" s="1">
        <f>IF(B1801="North",28.6,
IF(B1801="South",13,
IF(B1801="East",22.6,
IF(B1801="West",19,
23.5))))</f>
        <v>28.6</v>
      </c>
      <c r="L1801" s="1">
        <f>IF(B1801="North",77.2,
IF(B1801="South",80.2,
IF(B1801="East",88.4,
IF(B1801="West",72.8,
78.9))))</f>
        <v>77.2</v>
      </c>
    </row>
    <row r="1802" spans="1:12" x14ac:dyDescent="0.25">
      <c r="A1802" s="5">
        <v>45611</v>
      </c>
      <c r="B1802" s="1" t="s">
        <v>10</v>
      </c>
      <c r="C1802" s="1" t="s">
        <v>21</v>
      </c>
      <c r="D1802" s="1" t="s">
        <v>32</v>
      </c>
      <c r="E1802" s="10">
        <v>19</v>
      </c>
      <c r="F1802" s="10">
        <v>1468</v>
      </c>
      <c r="G1802" s="1" t="s">
        <v>35</v>
      </c>
      <c r="H1802" s="10">
        <f t="shared" si="58"/>
        <v>27892</v>
      </c>
      <c r="I1802" s="7">
        <v>23023.632124188371</v>
      </c>
      <c r="J1802" s="7">
        <f t="shared" si="59"/>
        <v>4868.3678758116293</v>
      </c>
      <c r="K1802" s="1">
        <f>IF(B1802="North",28.6,
IF(B1802="South",13,
IF(B1802="East",22.6,
IF(B1802="West",19,
23.5))))</f>
        <v>28.6</v>
      </c>
      <c r="L1802" s="1">
        <f>IF(B1802="North",77.2,
IF(B1802="South",80.2,
IF(B1802="East",88.4,
IF(B1802="West",72.8,
78.9))))</f>
        <v>77.2</v>
      </c>
    </row>
    <row r="1803" spans="1:12" x14ac:dyDescent="0.25">
      <c r="A1803" s="5">
        <v>45629</v>
      </c>
      <c r="B1803" s="1" t="s">
        <v>11</v>
      </c>
      <c r="C1803" s="1" t="s">
        <v>21</v>
      </c>
      <c r="D1803" s="1" t="s">
        <v>36</v>
      </c>
      <c r="E1803" s="10">
        <v>3</v>
      </c>
      <c r="F1803" s="10">
        <v>1523</v>
      </c>
      <c r="G1803" s="1" t="s">
        <v>35</v>
      </c>
      <c r="H1803" s="10">
        <f t="shared" si="58"/>
        <v>4569</v>
      </c>
      <c r="I1803" s="7">
        <v>2989.6502862725952</v>
      </c>
      <c r="J1803" s="7">
        <f t="shared" si="59"/>
        <v>1579.3497137274048</v>
      </c>
      <c r="K1803" s="1">
        <f>IF(B1803="North",28.6,
IF(B1803="South",13,
IF(B1803="East",22.6,
IF(B1803="West",19,
23.5))))</f>
        <v>19</v>
      </c>
      <c r="L1803" s="1">
        <f>IF(B1803="North",77.2,
IF(B1803="South",80.2,
IF(B1803="East",88.4,
IF(B1803="West",72.8,
78.9))))</f>
        <v>72.8</v>
      </c>
    </row>
    <row r="1804" spans="1:12" x14ac:dyDescent="0.25">
      <c r="A1804" s="5">
        <v>45657</v>
      </c>
      <c r="B1804" s="1" t="s">
        <v>10</v>
      </c>
      <c r="C1804" s="1" t="s">
        <v>18</v>
      </c>
      <c r="D1804" s="1" t="s">
        <v>28</v>
      </c>
      <c r="E1804" s="10">
        <v>18</v>
      </c>
      <c r="F1804" s="10">
        <v>1330</v>
      </c>
      <c r="G1804" s="1" t="s">
        <v>34</v>
      </c>
      <c r="H1804" s="10">
        <f t="shared" si="58"/>
        <v>23940</v>
      </c>
      <c r="I1804" s="7">
        <v>14687.143055718419</v>
      </c>
      <c r="J1804" s="7">
        <f t="shared" si="59"/>
        <v>9252.8569442815806</v>
      </c>
      <c r="K1804" s="1">
        <f>IF(B1804="North",28.6,
IF(B1804="South",13,
IF(B1804="East",22.6,
IF(B1804="West",19,
23.5))))</f>
        <v>28.6</v>
      </c>
      <c r="L1804" s="1">
        <f>IF(B1804="North",77.2,
IF(B1804="South",80.2,
IF(B1804="East",88.4,
IF(B1804="West",72.8,
78.9))))</f>
        <v>77.2</v>
      </c>
    </row>
    <row r="1805" spans="1:12" x14ac:dyDescent="0.25">
      <c r="A1805" s="5">
        <v>45386</v>
      </c>
      <c r="B1805" s="1" t="s">
        <v>10</v>
      </c>
      <c r="C1805" s="1" t="s">
        <v>18</v>
      </c>
      <c r="D1805" s="1" t="s">
        <v>27</v>
      </c>
      <c r="E1805" s="10">
        <v>7</v>
      </c>
      <c r="F1805" s="10">
        <v>957</v>
      </c>
      <c r="G1805" s="1" t="s">
        <v>34</v>
      </c>
      <c r="H1805" s="10">
        <f t="shared" si="58"/>
        <v>6699</v>
      </c>
      <c r="I1805" s="7">
        <v>4182.0673976208354</v>
      </c>
      <c r="J1805" s="7">
        <f t="shared" si="59"/>
        <v>2516.9326023791646</v>
      </c>
      <c r="K1805" s="1">
        <f>IF(B1805="North",28.6,
IF(B1805="South",13,
IF(B1805="East",22.6,
IF(B1805="West",19,
23.5))))</f>
        <v>28.6</v>
      </c>
      <c r="L1805" s="1">
        <f>IF(B1805="North",77.2,
IF(B1805="South",80.2,
IF(B1805="East",88.4,
IF(B1805="West",72.8,
78.9))))</f>
        <v>77.2</v>
      </c>
    </row>
    <row r="1806" spans="1:12" x14ac:dyDescent="0.25">
      <c r="A1806" s="5">
        <v>45457</v>
      </c>
      <c r="B1806" s="1" t="s">
        <v>10</v>
      </c>
      <c r="C1806" s="1" t="s">
        <v>24</v>
      </c>
      <c r="D1806" s="1" t="s">
        <v>31</v>
      </c>
      <c r="E1806" s="10">
        <v>9</v>
      </c>
      <c r="F1806" s="10">
        <v>1042</v>
      </c>
      <c r="G1806" s="1" t="s">
        <v>35</v>
      </c>
      <c r="H1806" s="10">
        <f t="shared" si="58"/>
        <v>9378</v>
      </c>
      <c r="I1806" s="7">
        <v>7475.3325333149714</v>
      </c>
      <c r="J1806" s="7">
        <f t="shared" si="59"/>
        <v>1902.6674666850286</v>
      </c>
      <c r="K1806" s="1">
        <f>IF(B1806="North",28.6,
IF(B1806="South",13,
IF(B1806="East",22.6,
IF(B1806="West",19,
23.5))))</f>
        <v>28.6</v>
      </c>
      <c r="L1806" s="1">
        <f>IF(B1806="North",77.2,
IF(B1806="South",80.2,
IF(B1806="East",88.4,
IF(B1806="West",72.8,
78.9))))</f>
        <v>77.2</v>
      </c>
    </row>
    <row r="1807" spans="1:12" x14ac:dyDescent="0.25">
      <c r="A1807" s="5">
        <v>45323</v>
      </c>
      <c r="B1807" s="1" t="s">
        <v>10</v>
      </c>
      <c r="C1807" s="1" t="s">
        <v>23</v>
      </c>
      <c r="D1807" s="1" t="s">
        <v>31</v>
      </c>
      <c r="E1807" s="10">
        <v>12</v>
      </c>
      <c r="F1807" s="10">
        <v>1295</v>
      </c>
      <c r="G1807" s="1" t="s">
        <v>34</v>
      </c>
      <c r="H1807" s="10">
        <f t="shared" si="58"/>
        <v>15540</v>
      </c>
      <c r="I1807" s="7">
        <v>9955.7504288309392</v>
      </c>
      <c r="J1807" s="7">
        <f t="shared" si="59"/>
        <v>5584.2495711690608</v>
      </c>
      <c r="K1807" s="1">
        <f>IF(B1807="North",28.6,
IF(B1807="South",13,
IF(B1807="East",22.6,
IF(B1807="West",19,
23.5))))</f>
        <v>28.6</v>
      </c>
      <c r="L1807" s="1">
        <f>IF(B1807="North",77.2,
IF(B1807="South",80.2,
IF(B1807="East",88.4,
IF(B1807="West",72.8,
78.9))))</f>
        <v>77.2</v>
      </c>
    </row>
    <row r="1808" spans="1:12" x14ac:dyDescent="0.25">
      <c r="A1808" s="5">
        <v>45302</v>
      </c>
      <c r="B1808" s="1" t="s">
        <v>11</v>
      </c>
      <c r="C1808" s="1" t="s">
        <v>21</v>
      </c>
      <c r="D1808" s="1" t="s">
        <v>32</v>
      </c>
      <c r="E1808" s="10">
        <v>5</v>
      </c>
      <c r="F1808" s="10">
        <v>563</v>
      </c>
      <c r="G1808" s="1" t="s">
        <v>35</v>
      </c>
      <c r="H1808" s="10">
        <f t="shared" si="58"/>
        <v>2815</v>
      </c>
      <c r="I1808" s="7">
        <v>2106.1144554555822</v>
      </c>
      <c r="J1808" s="7">
        <f t="shared" si="59"/>
        <v>708.88554454441783</v>
      </c>
      <c r="K1808" s="1">
        <f>IF(B1808="North",28.6,
IF(B1808="South",13,
IF(B1808="East",22.6,
IF(B1808="West",19,
23.5))))</f>
        <v>19</v>
      </c>
      <c r="L1808" s="1">
        <f>IF(B1808="North",77.2,
IF(B1808="South",80.2,
IF(B1808="East",88.4,
IF(B1808="West",72.8,
78.9))))</f>
        <v>72.8</v>
      </c>
    </row>
    <row r="1809" spans="1:12" x14ac:dyDescent="0.25">
      <c r="A1809" s="5">
        <v>45592</v>
      </c>
      <c r="B1809" s="1" t="s">
        <v>10</v>
      </c>
      <c r="C1809" s="1" t="s">
        <v>20</v>
      </c>
      <c r="D1809" s="1" t="s">
        <v>31</v>
      </c>
      <c r="E1809" s="10">
        <v>3</v>
      </c>
      <c r="F1809" s="10">
        <v>369</v>
      </c>
      <c r="G1809" s="1" t="s">
        <v>33</v>
      </c>
      <c r="H1809" s="10">
        <f t="shared" si="58"/>
        <v>1107</v>
      </c>
      <c r="I1809" s="7">
        <v>714.89225242058103</v>
      </c>
      <c r="J1809" s="7">
        <f t="shared" si="59"/>
        <v>392.10774757941897</v>
      </c>
      <c r="K1809" s="1">
        <f>IF(B1809="North",28.6,
IF(B1809="South",13,
IF(B1809="East",22.6,
IF(B1809="West",19,
23.5))))</f>
        <v>28.6</v>
      </c>
      <c r="L1809" s="1">
        <f>IF(B1809="North",77.2,
IF(B1809="South",80.2,
IF(B1809="East",88.4,
IF(B1809="West",72.8,
78.9))))</f>
        <v>77.2</v>
      </c>
    </row>
    <row r="1810" spans="1:12" x14ac:dyDescent="0.25">
      <c r="A1810" s="5">
        <v>45508</v>
      </c>
      <c r="B1810" s="1" t="s">
        <v>12</v>
      </c>
      <c r="C1810" s="1" t="s">
        <v>24</v>
      </c>
      <c r="D1810" s="1" t="s">
        <v>27</v>
      </c>
      <c r="E1810" s="10">
        <v>11</v>
      </c>
      <c r="F1810" s="10">
        <v>1344</v>
      </c>
      <c r="G1810" s="1" t="s">
        <v>35</v>
      </c>
      <c r="H1810" s="10">
        <f t="shared" si="58"/>
        <v>14784</v>
      </c>
      <c r="I1810" s="7">
        <v>9625.0406233998783</v>
      </c>
      <c r="J1810" s="7">
        <f t="shared" si="59"/>
        <v>5158.9593766001217</v>
      </c>
      <c r="K1810" s="1">
        <f>IF(B1810="North",28.6,
IF(B1810="South",13,
IF(B1810="East",22.6,
IF(B1810="West",19,
23.5))))</f>
        <v>22.6</v>
      </c>
      <c r="L1810" s="1">
        <f>IF(B1810="North",77.2,
IF(B1810="South",80.2,
IF(B1810="East",88.4,
IF(B1810="West",72.8,
78.9))))</f>
        <v>88.4</v>
      </c>
    </row>
    <row r="1811" spans="1:12" x14ac:dyDescent="0.25">
      <c r="A1811" s="5">
        <v>45580</v>
      </c>
      <c r="B1811" s="1" t="s">
        <v>12</v>
      </c>
      <c r="C1811" s="1" t="s">
        <v>20</v>
      </c>
      <c r="D1811" s="1" t="s">
        <v>27</v>
      </c>
      <c r="E1811" s="10">
        <v>4</v>
      </c>
      <c r="F1811" s="10">
        <v>1275</v>
      </c>
      <c r="G1811" s="1" t="s">
        <v>33</v>
      </c>
      <c r="H1811" s="10">
        <f t="shared" si="58"/>
        <v>5100</v>
      </c>
      <c r="I1811" s="7">
        <v>3066.671570112524</v>
      </c>
      <c r="J1811" s="7">
        <f t="shared" si="59"/>
        <v>2033.328429887476</v>
      </c>
      <c r="K1811" s="1">
        <f>IF(B1811="North",28.6,
IF(B1811="South",13,
IF(B1811="East",22.6,
IF(B1811="West",19,
23.5))))</f>
        <v>22.6</v>
      </c>
      <c r="L1811" s="1">
        <f>IF(B1811="North",77.2,
IF(B1811="South",80.2,
IF(B1811="East",88.4,
IF(B1811="West",72.8,
78.9))))</f>
        <v>88.4</v>
      </c>
    </row>
    <row r="1812" spans="1:12" x14ac:dyDescent="0.25">
      <c r="A1812" s="5">
        <v>45393</v>
      </c>
      <c r="B1812" s="1" t="s">
        <v>12</v>
      </c>
      <c r="C1812" s="1" t="s">
        <v>20</v>
      </c>
      <c r="D1812" s="1" t="s">
        <v>26</v>
      </c>
      <c r="E1812" s="10">
        <v>5</v>
      </c>
      <c r="F1812" s="10">
        <v>722</v>
      </c>
      <c r="G1812" s="1" t="s">
        <v>33</v>
      </c>
      <c r="H1812" s="10">
        <f t="shared" si="58"/>
        <v>3610</v>
      </c>
      <c r="I1812" s="7">
        <v>2513.4526690946341</v>
      </c>
      <c r="J1812" s="7">
        <f t="shared" si="59"/>
        <v>1096.5473309053659</v>
      </c>
      <c r="K1812" s="1">
        <f>IF(B1812="North",28.6,
IF(B1812="South",13,
IF(B1812="East",22.6,
IF(B1812="West",19,
23.5))))</f>
        <v>22.6</v>
      </c>
      <c r="L1812" s="1">
        <f>IF(B1812="North",77.2,
IF(B1812="South",80.2,
IF(B1812="East",88.4,
IF(B1812="West",72.8,
78.9))))</f>
        <v>88.4</v>
      </c>
    </row>
    <row r="1813" spans="1:12" x14ac:dyDescent="0.25">
      <c r="A1813" s="5">
        <v>45558</v>
      </c>
      <c r="B1813" s="1" t="s">
        <v>12</v>
      </c>
      <c r="C1813" s="1" t="s">
        <v>24</v>
      </c>
      <c r="D1813" s="1" t="s">
        <v>29</v>
      </c>
      <c r="E1813" s="10">
        <v>1</v>
      </c>
      <c r="F1813" s="10">
        <v>1306</v>
      </c>
      <c r="G1813" s="1" t="s">
        <v>35</v>
      </c>
      <c r="H1813" s="10">
        <f t="shared" si="58"/>
        <v>1306</v>
      </c>
      <c r="I1813" s="7">
        <v>818.78256884734662</v>
      </c>
      <c r="J1813" s="7">
        <f t="shared" si="59"/>
        <v>487.21743115265338</v>
      </c>
      <c r="K1813" s="1">
        <f>IF(B1813="North",28.6,
IF(B1813="South",13,
IF(B1813="East",22.6,
IF(B1813="West",19,
23.5))))</f>
        <v>22.6</v>
      </c>
      <c r="L1813" s="1">
        <f>IF(B1813="North",77.2,
IF(B1813="South",80.2,
IF(B1813="East",88.4,
IF(B1813="West",72.8,
78.9))))</f>
        <v>88.4</v>
      </c>
    </row>
    <row r="1814" spans="1:12" x14ac:dyDescent="0.25">
      <c r="A1814" s="5">
        <v>45505</v>
      </c>
      <c r="B1814" s="1" t="s">
        <v>10</v>
      </c>
      <c r="C1814" s="1" t="s">
        <v>19</v>
      </c>
      <c r="D1814" s="1" t="s">
        <v>29</v>
      </c>
      <c r="E1814" s="10">
        <v>18</v>
      </c>
      <c r="F1814" s="10">
        <v>1522</v>
      </c>
      <c r="G1814" s="1" t="s">
        <v>35</v>
      </c>
      <c r="H1814" s="10">
        <f t="shared" si="58"/>
        <v>27396</v>
      </c>
      <c r="I1814" s="7">
        <v>19675.488929767889</v>
      </c>
      <c r="J1814" s="7">
        <f t="shared" si="59"/>
        <v>7720.5110702321108</v>
      </c>
      <c r="K1814" s="1">
        <f>IF(B1814="North",28.6,
IF(B1814="South",13,
IF(B1814="East",22.6,
IF(B1814="West",19,
23.5))))</f>
        <v>28.6</v>
      </c>
      <c r="L1814" s="1">
        <f>IF(B1814="North",77.2,
IF(B1814="South",80.2,
IF(B1814="East",88.4,
IF(B1814="West",72.8,
78.9))))</f>
        <v>77.2</v>
      </c>
    </row>
    <row r="1815" spans="1:12" x14ac:dyDescent="0.25">
      <c r="A1815" s="5">
        <v>45470</v>
      </c>
      <c r="B1815" s="1" t="s">
        <v>12</v>
      </c>
      <c r="C1815" s="1" t="s">
        <v>23</v>
      </c>
      <c r="D1815" s="1" t="s">
        <v>26</v>
      </c>
      <c r="E1815" s="10">
        <v>12</v>
      </c>
      <c r="F1815" s="10">
        <v>1974</v>
      </c>
      <c r="G1815" s="1" t="s">
        <v>34</v>
      </c>
      <c r="H1815" s="10">
        <f t="shared" si="58"/>
        <v>23688</v>
      </c>
      <c r="I1815" s="7">
        <v>18460.894417866399</v>
      </c>
      <c r="J1815" s="7">
        <f t="shared" si="59"/>
        <v>5227.1055821336013</v>
      </c>
      <c r="K1815" s="1">
        <f>IF(B1815="North",28.6,
IF(B1815="South",13,
IF(B1815="East",22.6,
IF(B1815="West",19,
23.5))))</f>
        <v>22.6</v>
      </c>
      <c r="L1815" s="1">
        <f>IF(B1815="North",77.2,
IF(B1815="South",80.2,
IF(B1815="East",88.4,
IF(B1815="West",72.8,
78.9))))</f>
        <v>88.4</v>
      </c>
    </row>
    <row r="1816" spans="1:12" x14ac:dyDescent="0.25">
      <c r="A1816" s="5">
        <v>45379</v>
      </c>
      <c r="B1816" s="1" t="s">
        <v>10</v>
      </c>
      <c r="C1816" s="1" t="s">
        <v>24</v>
      </c>
      <c r="D1816" s="1" t="s">
        <v>30</v>
      </c>
      <c r="E1816" s="10">
        <v>13</v>
      </c>
      <c r="F1816" s="10">
        <v>171</v>
      </c>
      <c r="G1816" s="1" t="s">
        <v>35</v>
      </c>
      <c r="H1816" s="10">
        <f t="shared" si="58"/>
        <v>2223</v>
      </c>
      <c r="I1816" s="7">
        <v>1578.9070560732609</v>
      </c>
      <c r="J1816" s="7">
        <f t="shared" si="59"/>
        <v>644.09294392673905</v>
      </c>
      <c r="K1816" s="1">
        <f>IF(B1816="North",28.6,
IF(B1816="South",13,
IF(B1816="East",22.6,
IF(B1816="West",19,
23.5))))</f>
        <v>28.6</v>
      </c>
      <c r="L1816" s="1">
        <f>IF(B1816="North",77.2,
IF(B1816="South",80.2,
IF(B1816="East",88.4,
IF(B1816="West",72.8,
78.9))))</f>
        <v>77.2</v>
      </c>
    </row>
    <row r="1817" spans="1:12" x14ac:dyDescent="0.25">
      <c r="A1817" s="5">
        <v>45332</v>
      </c>
      <c r="B1817" s="1" t="s">
        <v>11</v>
      </c>
      <c r="C1817" s="1" t="s">
        <v>18</v>
      </c>
      <c r="D1817" s="1" t="s">
        <v>36</v>
      </c>
      <c r="E1817" s="10">
        <v>9</v>
      </c>
      <c r="F1817" s="10">
        <v>1541</v>
      </c>
      <c r="G1817" s="1" t="s">
        <v>34</v>
      </c>
      <c r="H1817" s="10">
        <f t="shared" si="58"/>
        <v>13869</v>
      </c>
      <c r="I1817" s="7">
        <v>11255.033141416579</v>
      </c>
      <c r="J1817" s="7">
        <f t="shared" si="59"/>
        <v>2613.9668585834206</v>
      </c>
      <c r="K1817" s="1">
        <f>IF(B1817="North",28.6,
IF(B1817="South",13,
IF(B1817="East",22.6,
IF(B1817="West",19,
23.5))))</f>
        <v>19</v>
      </c>
      <c r="L1817" s="1">
        <f>IF(B1817="North",77.2,
IF(B1817="South",80.2,
IF(B1817="East",88.4,
IF(B1817="West",72.8,
78.9))))</f>
        <v>72.8</v>
      </c>
    </row>
    <row r="1818" spans="1:12" x14ac:dyDescent="0.25">
      <c r="A1818" s="5">
        <v>45367</v>
      </c>
      <c r="B1818" s="1" t="s">
        <v>12</v>
      </c>
      <c r="C1818" s="1" t="s">
        <v>24</v>
      </c>
      <c r="D1818" s="1" t="s">
        <v>27</v>
      </c>
      <c r="E1818" s="10">
        <v>2</v>
      </c>
      <c r="F1818" s="10">
        <v>1406</v>
      </c>
      <c r="G1818" s="1" t="s">
        <v>35</v>
      </c>
      <c r="H1818" s="10">
        <f t="shared" si="58"/>
        <v>2812</v>
      </c>
      <c r="I1818" s="7">
        <v>2312.688711518002</v>
      </c>
      <c r="J1818" s="7">
        <f t="shared" si="59"/>
        <v>499.31128848199796</v>
      </c>
      <c r="K1818" s="1">
        <f>IF(B1818="North",28.6,
IF(B1818="South",13,
IF(B1818="East",22.6,
IF(B1818="West",19,
23.5))))</f>
        <v>22.6</v>
      </c>
      <c r="L1818" s="1">
        <f>IF(B1818="North",77.2,
IF(B1818="South",80.2,
IF(B1818="East",88.4,
IF(B1818="West",72.8,
78.9))))</f>
        <v>88.4</v>
      </c>
    </row>
    <row r="1819" spans="1:12" x14ac:dyDescent="0.25">
      <c r="A1819" s="5">
        <v>45337</v>
      </c>
      <c r="B1819" s="1" t="s">
        <v>13</v>
      </c>
      <c r="C1819" s="1" t="s">
        <v>21</v>
      </c>
      <c r="D1819" s="1" t="s">
        <v>27</v>
      </c>
      <c r="E1819" s="10">
        <v>5</v>
      </c>
      <c r="F1819" s="10">
        <v>173</v>
      </c>
      <c r="G1819" s="1" t="s">
        <v>35</v>
      </c>
      <c r="H1819" s="10">
        <f t="shared" si="58"/>
        <v>865</v>
      </c>
      <c r="I1819" s="7">
        <v>699.76935752013071</v>
      </c>
      <c r="J1819" s="7">
        <f t="shared" si="59"/>
        <v>165.23064247986929</v>
      </c>
      <c r="K1819" s="1">
        <f>IF(B1819="North",28.6,
IF(B1819="South",13,
IF(B1819="East",22.6,
IF(B1819="West",19,
23.5))))</f>
        <v>13</v>
      </c>
      <c r="L1819" s="1">
        <f>IF(B1819="North",77.2,
IF(B1819="South",80.2,
IF(B1819="East",88.4,
IF(B1819="West",72.8,
78.9))))</f>
        <v>80.2</v>
      </c>
    </row>
    <row r="1820" spans="1:12" x14ac:dyDescent="0.25">
      <c r="A1820" s="5">
        <v>45451</v>
      </c>
      <c r="B1820" s="1" t="s">
        <v>12</v>
      </c>
      <c r="C1820" s="1" t="s">
        <v>24</v>
      </c>
      <c r="D1820" s="1" t="s">
        <v>29</v>
      </c>
      <c r="E1820" s="10">
        <v>13</v>
      </c>
      <c r="F1820" s="10">
        <v>454</v>
      </c>
      <c r="G1820" s="1" t="s">
        <v>35</v>
      </c>
      <c r="H1820" s="10">
        <f t="shared" si="58"/>
        <v>5902</v>
      </c>
      <c r="I1820" s="7">
        <v>5199.745028683531</v>
      </c>
      <c r="J1820" s="7">
        <f t="shared" si="59"/>
        <v>702.25497131646898</v>
      </c>
      <c r="K1820" s="1">
        <f>IF(B1820="North",28.6,
IF(B1820="South",13,
IF(B1820="East",22.6,
IF(B1820="West",19,
23.5))))</f>
        <v>22.6</v>
      </c>
      <c r="L1820" s="1">
        <f>IF(B1820="North",77.2,
IF(B1820="South",80.2,
IF(B1820="East",88.4,
IF(B1820="West",72.8,
78.9))))</f>
        <v>88.4</v>
      </c>
    </row>
    <row r="1821" spans="1:12" x14ac:dyDescent="0.25">
      <c r="A1821" s="5">
        <v>45371</v>
      </c>
      <c r="B1821" s="1" t="s">
        <v>12</v>
      </c>
      <c r="C1821" s="1" t="s">
        <v>40</v>
      </c>
      <c r="D1821" s="1" t="s">
        <v>27</v>
      </c>
      <c r="E1821" s="10">
        <v>16</v>
      </c>
      <c r="F1821" s="10">
        <v>1850</v>
      </c>
      <c r="G1821" s="1" t="s">
        <v>35</v>
      </c>
      <c r="H1821" s="10">
        <f t="shared" si="58"/>
        <v>29600</v>
      </c>
      <c r="I1821" s="7">
        <v>19867.173179716941</v>
      </c>
      <c r="J1821" s="7">
        <f t="shared" si="59"/>
        <v>9732.8268202830586</v>
      </c>
      <c r="K1821" s="1">
        <f>IF(B1821="North",28.6,
IF(B1821="South",13,
IF(B1821="East",22.6,
IF(B1821="West",19,
23.5))))</f>
        <v>22.6</v>
      </c>
      <c r="L1821" s="1">
        <f>IF(B1821="North",77.2,
IF(B1821="South",80.2,
IF(B1821="East",88.4,
IF(B1821="West",72.8,
78.9))))</f>
        <v>88.4</v>
      </c>
    </row>
    <row r="1822" spans="1:12" x14ac:dyDescent="0.25">
      <c r="A1822" s="5">
        <v>45601</v>
      </c>
      <c r="B1822" s="1" t="s">
        <v>10</v>
      </c>
      <c r="C1822" s="1" t="s">
        <v>21</v>
      </c>
      <c r="D1822" s="1" t="s">
        <v>26</v>
      </c>
      <c r="E1822" s="10">
        <v>16</v>
      </c>
      <c r="F1822" s="10">
        <v>596</v>
      </c>
      <c r="G1822" s="1" t="s">
        <v>35</v>
      </c>
      <c r="H1822" s="10">
        <f t="shared" si="58"/>
        <v>9536</v>
      </c>
      <c r="I1822" s="7">
        <v>6263.5970210713249</v>
      </c>
      <c r="J1822" s="7">
        <f t="shared" si="59"/>
        <v>3272.4029789286751</v>
      </c>
      <c r="K1822" s="1">
        <f>IF(B1822="North",28.6,
IF(B1822="South",13,
IF(B1822="East",22.6,
IF(B1822="West",19,
23.5))))</f>
        <v>28.6</v>
      </c>
      <c r="L1822" s="1">
        <f>IF(B1822="North",77.2,
IF(B1822="South",80.2,
IF(B1822="East",88.4,
IF(B1822="West",72.8,
78.9))))</f>
        <v>77.2</v>
      </c>
    </row>
    <row r="1823" spans="1:12" x14ac:dyDescent="0.25">
      <c r="A1823" s="5">
        <v>45377</v>
      </c>
      <c r="B1823" s="1" t="s">
        <v>12</v>
      </c>
      <c r="C1823" s="1" t="s">
        <v>18</v>
      </c>
      <c r="D1823" s="1" t="s">
        <v>32</v>
      </c>
      <c r="E1823" s="10">
        <v>3</v>
      </c>
      <c r="F1823" s="10">
        <v>1451</v>
      </c>
      <c r="G1823" s="1" t="s">
        <v>34</v>
      </c>
      <c r="H1823" s="10">
        <f t="shared" si="58"/>
        <v>4353</v>
      </c>
      <c r="I1823" s="7">
        <v>3408.0222338009539</v>
      </c>
      <c r="J1823" s="7">
        <f t="shared" si="59"/>
        <v>944.97776619904607</v>
      </c>
      <c r="K1823" s="1">
        <f>IF(B1823="North",28.6,
IF(B1823="South",13,
IF(B1823="East",22.6,
IF(B1823="West",19,
23.5))))</f>
        <v>22.6</v>
      </c>
      <c r="L1823" s="1">
        <f>IF(B1823="North",77.2,
IF(B1823="South",80.2,
IF(B1823="East",88.4,
IF(B1823="West",72.8,
78.9))))</f>
        <v>88.4</v>
      </c>
    </row>
    <row r="1824" spans="1:12" x14ac:dyDescent="0.25">
      <c r="A1824" s="5">
        <v>45383</v>
      </c>
      <c r="B1824" s="1" t="s">
        <v>13</v>
      </c>
      <c r="C1824" s="1" t="s">
        <v>22</v>
      </c>
      <c r="D1824" s="1" t="s">
        <v>32</v>
      </c>
      <c r="E1824" s="10">
        <v>10</v>
      </c>
      <c r="F1824" s="10">
        <v>1087</v>
      </c>
      <c r="G1824" s="1" t="s">
        <v>35</v>
      </c>
      <c r="H1824" s="10">
        <f t="shared" si="58"/>
        <v>10870</v>
      </c>
      <c r="I1824" s="7">
        <f>H1824*0.7</f>
        <v>7608.9999999999991</v>
      </c>
      <c r="J1824" s="7">
        <f t="shared" si="59"/>
        <v>3261.0000000000009</v>
      </c>
      <c r="K1824" s="1">
        <f>IF(B1824="North",28.6,
IF(B1824="South",13,
IF(B1824="East",22.6,
IF(B1824="West",19,
23.5))))</f>
        <v>13</v>
      </c>
      <c r="L1824" s="1">
        <f>IF(B1824="North",77.2,
IF(B1824="South",80.2,
IF(B1824="East",88.4,
IF(B1824="West",72.8,
78.9))))</f>
        <v>80.2</v>
      </c>
    </row>
    <row r="1825" spans="1:12" x14ac:dyDescent="0.25">
      <c r="A1825" s="5">
        <v>45439</v>
      </c>
      <c r="B1825" s="1" t="s">
        <v>10</v>
      </c>
      <c r="C1825" s="1" t="s">
        <v>22</v>
      </c>
      <c r="D1825" s="1" t="s">
        <v>31</v>
      </c>
      <c r="E1825" s="10">
        <v>11</v>
      </c>
      <c r="F1825" s="10">
        <v>1658</v>
      </c>
      <c r="G1825" s="1" t="s">
        <v>35</v>
      </c>
      <c r="H1825" s="10">
        <f t="shared" si="58"/>
        <v>18238</v>
      </c>
      <c r="I1825" s="7">
        <v>13733.752022868341</v>
      </c>
      <c r="J1825" s="7">
        <f t="shared" si="59"/>
        <v>4504.2479771316594</v>
      </c>
      <c r="K1825" s="1">
        <f>IF(B1825="North",28.6,
IF(B1825="South",13,
IF(B1825="East",22.6,
IF(B1825="West",19,
23.5))))</f>
        <v>28.6</v>
      </c>
      <c r="L1825" s="1">
        <f>IF(B1825="North",77.2,
IF(B1825="South",80.2,
IF(B1825="East",88.4,
IF(B1825="West",72.8,
78.9))))</f>
        <v>77.2</v>
      </c>
    </row>
    <row r="1826" spans="1:12" x14ac:dyDescent="0.25">
      <c r="A1826" s="5">
        <v>45452</v>
      </c>
      <c r="B1826" s="1" t="s">
        <v>10</v>
      </c>
      <c r="C1826" s="1" t="s">
        <v>20</v>
      </c>
      <c r="D1826" s="1" t="s">
        <v>25</v>
      </c>
      <c r="E1826" s="10">
        <v>14</v>
      </c>
      <c r="F1826" s="10">
        <v>679</v>
      </c>
      <c r="G1826" s="1" t="s">
        <v>33</v>
      </c>
      <c r="H1826" s="10">
        <f t="shared" si="58"/>
        <v>9506</v>
      </c>
      <c r="I1826" s="7">
        <v>5716.0144315033431</v>
      </c>
      <c r="J1826" s="7">
        <f t="shared" si="59"/>
        <v>3789.9855684966569</v>
      </c>
      <c r="K1826" s="1">
        <f>IF(B1826="North",28.6,
IF(B1826="South",13,
IF(B1826="East",22.6,
IF(B1826="West",19,
23.5))))</f>
        <v>28.6</v>
      </c>
      <c r="L1826" s="1">
        <f>IF(B1826="North",77.2,
IF(B1826="South",80.2,
IF(B1826="East",88.4,
IF(B1826="West",72.8,
78.9))))</f>
        <v>77.2</v>
      </c>
    </row>
    <row r="1827" spans="1:12" x14ac:dyDescent="0.25">
      <c r="A1827" s="5">
        <v>45493</v>
      </c>
      <c r="B1827" s="1" t="s">
        <v>11</v>
      </c>
      <c r="C1827" s="1" t="s">
        <v>23</v>
      </c>
      <c r="D1827" s="1" t="s">
        <v>25</v>
      </c>
      <c r="E1827" s="10">
        <v>3</v>
      </c>
      <c r="F1827" s="10">
        <v>1009</v>
      </c>
      <c r="G1827" s="1" t="s">
        <v>34</v>
      </c>
      <c r="H1827" s="10">
        <f t="shared" si="58"/>
        <v>3027</v>
      </c>
      <c r="I1827" s="7">
        <v>2320.4118365776371</v>
      </c>
      <c r="J1827" s="7">
        <f t="shared" si="59"/>
        <v>706.58816342236287</v>
      </c>
      <c r="K1827" s="1">
        <f>IF(B1827="North",28.6,
IF(B1827="South",13,
IF(B1827="East",22.6,
IF(B1827="West",19,
23.5))))</f>
        <v>19</v>
      </c>
      <c r="L1827" s="1">
        <f>IF(B1827="North",77.2,
IF(B1827="South",80.2,
IF(B1827="East",88.4,
IF(B1827="West",72.8,
78.9))))</f>
        <v>72.8</v>
      </c>
    </row>
    <row r="1828" spans="1:12" x14ac:dyDescent="0.25">
      <c r="A1828" s="5">
        <v>45533</v>
      </c>
      <c r="B1828" s="1" t="s">
        <v>11</v>
      </c>
      <c r="C1828" s="1" t="s">
        <v>20</v>
      </c>
      <c r="D1828" s="1" t="s">
        <v>32</v>
      </c>
      <c r="E1828" s="10">
        <v>16</v>
      </c>
      <c r="F1828" s="10">
        <v>1570</v>
      </c>
      <c r="G1828" s="1" t="s">
        <v>33</v>
      </c>
      <c r="H1828" s="10">
        <f t="shared" si="58"/>
        <v>25120</v>
      </c>
      <c r="I1828" s="7">
        <v>22101.56615659477</v>
      </c>
      <c r="J1828" s="7">
        <f t="shared" si="59"/>
        <v>3018.4338434052297</v>
      </c>
      <c r="K1828" s="1">
        <f>IF(B1828="North",28.6,
IF(B1828="South",13,
IF(B1828="East",22.6,
IF(B1828="West",19,
23.5))))</f>
        <v>19</v>
      </c>
      <c r="L1828" s="1">
        <f>IF(B1828="North",77.2,
IF(B1828="South",80.2,
IF(B1828="East",88.4,
IF(B1828="West",72.8,
78.9))))</f>
        <v>72.8</v>
      </c>
    </row>
    <row r="1829" spans="1:12" x14ac:dyDescent="0.25">
      <c r="A1829" s="5">
        <v>45644</v>
      </c>
      <c r="B1829" s="1" t="s">
        <v>12</v>
      </c>
      <c r="C1829" s="1" t="s">
        <v>19</v>
      </c>
      <c r="D1829" s="1" t="s">
        <v>28</v>
      </c>
      <c r="E1829" s="10">
        <v>15</v>
      </c>
      <c r="F1829" s="10">
        <v>472</v>
      </c>
      <c r="G1829" s="1" t="s">
        <v>35</v>
      </c>
      <c r="H1829" s="10">
        <f t="shared" si="58"/>
        <v>7080</v>
      </c>
      <c r="I1829" s="7">
        <v>4958.643011675721</v>
      </c>
      <c r="J1829" s="7">
        <f t="shared" si="59"/>
        <v>2121.356988324279</v>
      </c>
      <c r="K1829" s="1">
        <f>IF(B1829="North",28.6,
IF(B1829="South",13,
IF(B1829="East",22.6,
IF(B1829="West",19,
23.5))))</f>
        <v>22.6</v>
      </c>
      <c r="L1829" s="1">
        <f>IF(B1829="North",77.2,
IF(B1829="South",80.2,
IF(B1829="East",88.4,
IF(B1829="West",72.8,
78.9))))</f>
        <v>88.4</v>
      </c>
    </row>
    <row r="1830" spans="1:12" x14ac:dyDescent="0.25">
      <c r="A1830" s="5">
        <v>45293</v>
      </c>
      <c r="B1830" s="1" t="s">
        <v>11</v>
      </c>
      <c r="C1830" s="1" t="s">
        <v>17</v>
      </c>
      <c r="D1830" s="1" t="s">
        <v>26</v>
      </c>
      <c r="E1830" s="10">
        <v>10</v>
      </c>
      <c r="F1830" s="10">
        <v>461</v>
      </c>
      <c r="G1830" s="1" t="s">
        <v>33</v>
      </c>
      <c r="H1830" s="10">
        <f t="shared" si="58"/>
        <v>4610</v>
      </c>
      <c r="I1830" s="7">
        <v>4104.189684361907</v>
      </c>
      <c r="J1830" s="7">
        <f t="shared" si="59"/>
        <v>505.81031563809302</v>
      </c>
      <c r="K1830" s="1">
        <f>IF(B1830="North",28.6,
IF(B1830="South",13,
IF(B1830="East",22.6,
IF(B1830="West",19,
23.5))))</f>
        <v>19</v>
      </c>
      <c r="L1830" s="1">
        <f>IF(B1830="North",77.2,
IF(B1830="South",80.2,
IF(B1830="East",88.4,
IF(B1830="West",72.8,
78.9))))</f>
        <v>72.8</v>
      </c>
    </row>
    <row r="1831" spans="1:12" x14ac:dyDescent="0.25">
      <c r="A1831" s="5">
        <v>45516</v>
      </c>
      <c r="B1831" s="1" t="s">
        <v>11</v>
      </c>
      <c r="C1831" s="1" t="s">
        <v>18</v>
      </c>
      <c r="D1831" s="1" t="s">
        <v>27</v>
      </c>
      <c r="E1831" s="10">
        <v>9</v>
      </c>
      <c r="F1831" s="10">
        <v>192</v>
      </c>
      <c r="G1831" s="1" t="s">
        <v>34</v>
      </c>
      <c r="H1831" s="10">
        <f t="shared" si="58"/>
        <v>1728</v>
      </c>
      <c r="I1831" s="7">
        <v>1221.7426624960849</v>
      </c>
      <c r="J1831" s="7">
        <f t="shared" si="59"/>
        <v>506.2573375039151</v>
      </c>
      <c r="K1831" s="1">
        <f>IF(B1831="North",28.6,
IF(B1831="South",13,
IF(B1831="East",22.6,
IF(B1831="West",19,
23.5))))</f>
        <v>19</v>
      </c>
      <c r="L1831" s="1">
        <f>IF(B1831="North",77.2,
IF(B1831="South",80.2,
IF(B1831="East",88.4,
IF(B1831="West",72.8,
78.9))))</f>
        <v>72.8</v>
      </c>
    </row>
    <row r="1832" spans="1:12" x14ac:dyDescent="0.25">
      <c r="A1832" s="5">
        <v>45580</v>
      </c>
      <c r="B1832" s="1" t="s">
        <v>11</v>
      </c>
      <c r="C1832" s="1" t="s">
        <v>23</v>
      </c>
      <c r="D1832" s="1" t="s">
        <v>29</v>
      </c>
      <c r="E1832" s="10">
        <v>11</v>
      </c>
      <c r="F1832" s="10">
        <v>1444</v>
      </c>
      <c r="G1832" s="1" t="s">
        <v>34</v>
      </c>
      <c r="H1832" s="10">
        <f t="shared" si="58"/>
        <v>15884</v>
      </c>
      <c r="I1832" s="7">
        <v>10196.8346753979</v>
      </c>
      <c r="J1832" s="7">
        <f t="shared" si="59"/>
        <v>5687.1653246020996</v>
      </c>
      <c r="K1832" s="1">
        <f>IF(B1832="North",28.6,
IF(B1832="South",13,
IF(B1832="East",22.6,
IF(B1832="West",19,
23.5))))</f>
        <v>19</v>
      </c>
      <c r="L1832" s="1">
        <f>IF(B1832="North",77.2,
IF(B1832="South",80.2,
IF(B1832="East",88.4,
IF(B1832="West",72.8,
78.9))))</f>
        <v>72.8</v>
      </c>
    </row>
    <row r="1833" spans="1:12" x14ac:dyDescent="0.25">
      <c r="A1833" s="5">
        <v>45524</v>
      </c>
      <c r="B1833" s="1" t="s">
        <v>10</v>
      </c>
      <c r="C1833" s="1" t="s">
        <v>18</v>
      </c>
      <c r="D1833" s="1" t="s">
        <v>32</v>
      </c>
      <c r="E1833" s="10">
        <v>16</v>
      </c>
      <c r="F1833" s="10">
        <v>423</v>
      </c>
      <c r="G1833" s="1" t="s">
        <v>34</v>
      </c>
      <c r="H1833" s="10">
        <f t="shared" si="58"/>
        <v>6768</v>
      </c>
      <c r="I1833" s="7">
        <v>4869.718293668062</v>
      </c>
      <c r="J1833" s="7">
        <f t="shared" si="59"/>
        <v>1898.281706331938</v>
      </c>
      <c r="K1833" s="1">
        <f>IF(B1833="North",28.6,
IF(B1833="South",13,
IF(B1833="East",22.6,
IF(B1833="West",19,
23.5))))</f>
        <v>28.6</v>
      </c>
      <c r="L1833" s="1">
        <f>IF(B1833="North",77.2,
IF(B1833="South",80.2,
IF(B1833="East",88.4,
IF(B1833="West",72.8,
78.9))))</f>
        <v>77.2</v>
      </c>
    </row>
    <row r="1834" spans="1:12" x14ac:dyDescent="0.25">
      <c r="A1834" s="5">
        <v>45368</v>
      </c>
      <c r="B1834" s="1" t="s">
        <v>10</v>
      </c>
      <c r="C1834" s="1" t="s">
        <v>22</v>
      </c>
      <c r="D1834" s="1" t="s">
        <v>26</v>
      </c>
      <c r="E1834" s="10">
        <v>10</v>
      </c>
      <c r="F1834" s="10">
        <v>483</v>
      </c>
      <c r="G1834" s="1" t="s">
        <v>35</v>
      </c>
      <c r="H1834" s="10">
        <f t="shared" si="58"/>
        <v>4830</v>
      </c>
      <c r="I1834" s="7">
        <v>3614.6917924262152</v>
      </c>
      <c r="J1834" s="7">
        <f t="shared" si="59"/>
        <v>1215.3082075737848</v>
      </c>
      <c r="K1834" s="1">
        <f>IF(B1834="North",28.6,
IF(B1834="South",13,
IF(B1834="East",22.6,
IF(B1834="West",19,
23.5))))</f>
        <v>28.6</v>
      </c>
      <c r="L1834" s="1">
        <f>IF(B1834="North",77.2,
IF(B1834="South",80.2,
IF(B1834="East",88.4,
IF(B1834="West",72.8,
78.9))))</f>
        <v>77.2</v>
      </c>
    </row>
    <row r="1835" spans="1:12" x14ac:dyDescent="0.25">
      <c r="A1835" s="5">
        <v>45407</v>
      </c>
      <c r="B1835" s="1" t="s">
        <v>10</v>
      </c>
      <c r="C1835" s="1" t="s">
        <v>20</v>
      </c>
      <c r="D1835" s="1" t="s">
        <v>32</v>
      </c>
      <c r="E1835" s="10">
        <v>17</v>
      </c>
      <c r="F1835" s="10">
        <v>674</v>
      </c>
      <c r="G1835" s="1" t="s">
        <v>33</v>
      </c>
      <c r="H1835" s="10">
        <f t="shared" si="58"/>
        <v>11458</v>
      </c>
      <c r="I1835" s="7">
        <v>9038.5209635410138</v>
      </c>
      <c r="J1835" s="7">
        <f t="shared" si="59"/>
        <v>2419.4790364589862</v>
      </c>
      <c r="K1835" s="1">
        <f>IF(B1835="North",28.6,
IF(B1835="South",13,
IF(B1835="East",22.6,
IF(B1835="West",19,
23.5))))</f>
        <v>28.6</v>
      </c>
      <c r="L1835" s="1">
        <f>IF(B1835="North",77.2,
IF(B1835="South",80.2,
IF(B1835="East",88.4,
IF(B1835="West",72.8,
78.9))))</f>
        <v>77.2</v>
      </c>
    </row>
    <row r="1836" spans="1:12" x14ac:dyDescent="0.25">
      <c r="A1836" s="5">
        <v>45445</v>
      </c>
      <c r="B1836" s="1" t="s">
        <v>11</v>
      </c>
      <c r="C1836" s="1" t="s">
        <v>18</v>
      </c>
      <c r="D1836" s="1" t="s">
        <v>30</v>
      </c>
      <c r="E1836" s="10">
        <v>19</v>
      </c>
      <c r="F1836" s="10">
        <v>835</v>
      </c>
      <c r="G1836" s="1" t="s">
        <v>34</v>
      </c>
      <c r="H1836" s="10">
        <f t="shared" si="58"/>
        <v>15865</v>
      </c>
      <c r="I1836" s="7">
        <v>11921.967612145299</v>
      </c>
      <c r="J1836" s="7">
        <f t="shared" si="59"/>
        <v>3943.0323878547006</v>
      </c>
      <c r="K1836" s="1">
        <f>IF(B1836="North",28.6,
IF(B1836="South",13,
IF(B1836="East",22.6,
IF(B1836="West",19,
23.5))))</f>
        <v>19</v>
      </c>
      <c r="L1836" s="1">
        <f>IF(B1836="North",77.2,
IF(B1836="South",80.2,
IF(B1836="East",88.4,
IF(B1836="West",72.8,
78.9))))</f>
        <v>72.8</v>
      </c>
    </row>
    <row r="1837" spans="1:12" x14ac:dyDescent="0.25">
      <c r="A1837" s="5">
        <v>45394</v>
      </c>
      <c r="B1837" s="1" t="s">
        <v>10</v>
      </c>
      <c r="C1837" s="1" t="s">
        <v>22</v>
      </c>
      <c r="D1837" s="1" t="s">
        <v>27</v>
      </c>
      <c r="E1837" s="10">
        <v>2</v>
      </c>
      <c r="F1837" s="10">
        <v>836</v>
      </c>
      <c r="G1837" s="1" t="s">
        <v>35</v>
      </c>
      <c r="H1837" s="10">
        <f t="shared" si="58"/>
        <v>1672</v>
      </c>
      <c r="I1837" s="7">
        <v>1272.418063506959</v>
      </c>
      <c r="J1837" s="7">
        <f t="shared" si="59"/>
        <v>399.58193649304098</v>
      </c>
      <c r="K1837" s="1">
        <f>IF(B1837="North",28.6,
IF(B1837="South",13,
IF(B1837="East",22.6,
IF(B1837="West",19,
23.5))))</f>
        <v>28.6</v>
      </c>
      <c r="L1837" s="1">
        <f>IF(B1837="North",77.2,
IF(B1837="South",80.2,
IF(B1837="East",88.4,
IF(B1837="West",72.8,
78.9))))</f>
        <v>77.2</v>
      </c>
    </row>
    <row r="1838" spans="1:12" x14ac:dyDescent="0.25">
      <c r="A1838" s="5">
        <v>45485</v>
      </c>
      <c r="B1838" s="1" t="s">
        <v>11</v>
      </c>
      <c r="C1838" s="1" t="s">
        <v>19</v>
      </c>
      <c r="D1838" s="1" t="s">
        <v>30</v>
      </c>
      <c r="E1838" s="10">
        <v>2</v>
      </c>
      <c r="F1838" s="10">
        <v>445</v>
      </c>
      <c r="G1838" s="1" t="s">
        <v>35</v>
      </c>
      <c r="H1838" s="10">
        <f t="shared" si="58"/>
        <v>890</v>
      </c>
      <c r="I1838" s="7">
        <v>540.42589924148058</v>
      </c>
      <c r="J1838" s="7">
        <f t="shared" si="59"/>
        <v>349.57410075851942</v>
      </c>
      <c r="K1838" s="1">
        <f>IF(B1838="North",28.6,
IF(B1838="South",13,
IF(B1838="East",22.6,
IF(B1838="West",19,
23.5))))</f>
        <v>19</v>
      </c>
      <c r="L1838" s="1">
        <f>IF(B1838="North",77.2,
IF(B1838="South",80.2,
IF(B1838="East",88.4,
IF(B1838="West",72.8,
78.9))))</f>
        <v>72.8</v>
      </c>
    </row>
    <row r="1839" spans="1:12" x14ac:dyDescent="0.25">
      <c r="A1839" s="5">
        <v>45457</v>
      </c>
      <c r="B1839" s="1" t="s">
        <v>10</v>
      </c>
      <c r="C1839" s="1" t="s">
        <v>19</v>
      </c>
      <c r="D1839" s="1" t="s">
        <v>27</v>
      </c>
      <c r="E1839" s="10">
        <v>6</v>
      </c>
      <c r="F1839" s="10">
        <v>1972</v>
      </c>
      <c r="G1839" s="1" t="s">
        <v>35</v>
      </c>
      <c r="H1839" s="10">
        <f t="shared" si="58"/>
        <v>11832</v>
      </c>
      <c r="I1839" s="7">
        <v>7999.4501523580084</v>
      </c>
      <c r="J1839" s="7">
        <f t="shared" si="59"/>
        <v>3832.5498476419916</v>
      </c>
      <c r="K1839" s="1">
        <f>IF(B1839="North",28.6,
IF(B1839="South",13,
IF(B1839="East",22.6,
IF(B1839="West",19,
23.5))))</f>
        <v>28.6</v>
      </c>
      <c r="L1839" s="1">
        <f>IF(B1839="North",77.2,
IF(B1839="South",80.2,
IF(B1839="East",88.4,
IF(B1839="West",72.8,
78.9))))</f>
        <v>77.2</v>
      </c>
    </row>
    <row r="1840" spans="1:12" x14ac:dyDescent="0.25">
      <c r="A1840" s="5">
        <v>45650</v>
      </c>
      <c r="B1840" s="1" t="s">
        <v>10</v>
      </c>
      <c r="C1840" s="1" t="s">
        <v>17</v>
      </c>
      <c r="D1840" s="1" t="s">
        <v>26</v>
      </c>
      <c r="E1840" s="10">
        <v>19</v>
      </c>
      <c r="F1840" s="10">
        <v>1226</v>
      </c>
      <c r="G1840" s="1" t="s">
        <v>33</v>
      </c>
      <c r="H1840" s="10">
        <f t="shared" si="58"/>
        <v>23294</v>
      </c>
      <c r="I1840" s="7">
        <v>16147.610385010519</v>
      </c>
      <c r="J1840" s="7">
        <f t="shared" si="59"/>
        <v>7146.3896149894808</v>
      </c>
      <c r="K1840" s="1">
        <f>IF(B1840="North",28.6,
IF(B1840="South",13,
IF(B1840="East",22.6,
IF(B1840="West",19,
23.5))))</f>
        <v>28.6</v>
      </c>
      <c r="L1840" s="1">
        <f>IF(B1840="North",77.2,
IF(B1840="South",80.2,
IF(B1840="East",88.4,
IF(B1840="West",72.8,
78.9))))</f>
        <v>77.2</v>
      </c>
    </row>
    <row r="1841" spans="1:12" x14ac:dyDescent="0.25">
      <c r="A1841" s="5">
        <v>45381</v>
      </c>
      <c r="B1841" s="1" t="s">
        <v>13</v>
      </c>
      <c r="C1841" s="1" t="s">
        <v>18</v>
      </c>
      <c r="D1841" s="1" t="s">
        <v>31</v>
      </c>
      <c r="E1841" s="10">
        <v>8</v>
      </c>
      <c r="F1841" s="10">
        <v>1338</v>
      </c>
      <c r="G1841" s="1" t="s">
        <v>34</v>
      </c>
      <c r="H1841" s="10">
        <f t="shared" si="58"/>
        <v>10704</v>
      </c>
      <c r="I1841" s="7">
        <v>9592.1387128449096</v>
      </c>
      <c r="J1841" s="7">
        <f t="shared" si="59"/>
        <v>1111.8612871550904</v>
      </c>
      <c r="K1841" s="1">
        <f>IF(B1841="North",28.6,
IF(B1841="South",13,
IF(B1841="East",22.6,
IF(B1841="West",19,
23.5))))</f>
        <v>13</v>
      </c>
      <c r="L1841" s="1">
        <f>IF(B1841="North",77.2,
IF(B1841="South",80.2,
IF(B1841="East",88.4,
IF(B1841="West",72.8,
78.9))))</f>
        <v>80.2</v>
      </c>
    </row>
    <row r="1842" spans="1:12" x14ac:dyDescent="0.25">
      <c r="A1842" s="5">
        <v>45465</v>
      </c>
      <c r="B1842" s="1" t="s">
        <v>12</v>
      </c>
      <c r="C1842" s="1" t="s">
        <v>17</v>
      </c>
      <c r="D1842" s="1" t="s">
        <v>32</v>
      </c>
      <c r="E1842" s="10">
        <v>3</v>
      </c>
      <c r="F1842" s="10">
        <v>1315</v>
      </c>
      <c r="G1842" s="1" t="s">
        <v>33</v>
      </c>
      <c r="H1842" s="10">
        <f t="shared" si="58"/>
        <v>3945</v>
      </c>
      <c r="I1842" s="7">
        <v>2716.8044184994042</v>
      </c>
      <c r="J1842" s="7">
        <f t="shared" si="59"/>
        <v>1228.1955815005958</v>
      </c>
      <c r="K1842" s="1">
        <f>IF(B1842="North",28.6,
IF(B1842="South",13,
IF(B1842="East",22.6,
IF(B1842="West",19,
23.5))))</f>
        <v>22.6</v>
      </c>
      <c r="L1842" s="1">
        <f>IF(B1842="North",77.2,
IF(B1842="South",80.2,
IF(B1842="East",88.4,
IF(B1842="West",72.8,
78.9))))</f>
        <v>88.4</v>
      </c>
    </row>
    <row r="1843" spans="1:12" x14ac:dyDescent="0.25">
      <c r="A1843" s="5">
        <v>45413</v>
      </c>
      <c r="B1843" s="1" t="s">
        <v>11</v>
      </c>
      <c r="C1843" s="1" t="s">
        <v>21</v>
      </c>
      <c r="D1843" s="1" t="s">
        <v>32</v>
      </c>
      <c r="E1843" s="10">
        <v>14</v>
      </c>
      <c r="F1843" s="10">
        <v>1795</v>
      </c>
      <c r="G1843" s="1" t="s">
        <v>35</v>
      </c>
      <c r="H1843" s="10">
        <f t="shared" si="58"/>
        <v>25130</v>
      </c>
      <c r="I1843" s="7">
        <v>21837.30794128629</v>
      </c>
      <c r="J1843" s="7">
        <f t="shared" si="59"/>
        <v>3292.6920587137101</v>
      </c>
      <c r="K1843" s="1">
        <f>IF(B1843="North",28.6,
IF(B1843="South",13,
IF(B1843="East",22.6,
IF(B1843="West",19,
23.5))))</f>
        <v>19</v>
      </c>
      <c r="L1843" s="1">
        <f>IF(B1843="North",77.2,
IF(B1843="South",80.2,
IF(B1843="East",88.4,
IF(B1843="West",72.8,
78.9))))</f>
        <v>72.8</v>
      </c>
    </row>
    <row r="1844" spans="1:12" x14ac:dyDescent="0.25">
      <c r="A1844" s="5">
        <v>45434</v>
      </c>
      <c r="B1844" s="1" t="s">
        <v>13</v>
      </c>
      <c r="C1844" s="1" t="s">
        <v>23</v>
      </c>
      <c r="D1844" s="1" t="s">
        <v>28</v>
      </c>
      <c r="E1844" s="10">
        <v>16</v>
      </c>
      <c r="F1844" s="10">
        <v>818</v>
      </c>
      <c r="G1844" s="1" t="s">
        <v>34</v>
      </c>
      <c r="H1844" s="10">
        <f t="shared" si="58"/>
        <v>13088</v>
      </c>
      <c r="I1844" s="7">
        <v>9049.3162178044913</v>
      </c>
      <c r="J1844" s="7">
        <f t="shared" si="59"/>
        <v>4038.6837821955087</v>
      </c>
      <c r="K1844" s="1">
        <f>IF(B1844="North",28.6,
IF(B1844="South",13,
IF(B1844="East",22.6,
IF(B1844="West",19,
23.5))))</f>
        <v>13</v>
      </c>
      <c r="L1844" s="1">
        <f>IF(B1844="North",77.2,
IF(B1844="South",80.2,
IF(B1844="East",88.4,
IF(B1844="West",72.8,
78.9))))</f>
        <v>80.2</v>
      </c>
    </row>
    <row r="1845" spans="1:12" x14ac:dyDescent="0.25">
      <c r="A1845" s="5">
        <v>45397</v>
      </c>
      <c r="B1845" s="1" t="s">
        <v>10</v>
      </c>
      <c r="C1845" s="1" t="s">
        <v>18</v>
      </c>
      <c r="D1845" s="1" t="s">
        <v>29</v>
      </c>
      <c r="E1845" s="10">
        <v>1</v>
      </c>
      <c r="F1845" s="10">
        <v>880</v>
      </c>
      <c r="G1845" s="1" t="s">
        <v>34</v>
      </c>
      <c r="H1845" s="10">
        <f t="shared" si="58"/>
        <v>880</v>
      </c>
      <c r="I1845" s="7">
        <v>553.37312739519132</v>
      </c>
      <c r="J1845" s="7">
        <f t="shared" si="59"/>
        <v>326.62687260480868</v>
      </c>
      <c r="K1845" s="1">
        <f>IF(B1845="North",28.6,
IF(B1845="South",13,
IF(B1845="East",22.6,
IF(B1845="West",19,
23.5))))</f>
        <v>28.6</v>
      </c>
      <c r="L1845" s="1">
        <f>IF(B1845="North",77.2,
IF(B1845="South",80.2,
IF(B1845="East",88.4,
IF(B1845="West",72.8,
78.9))))</f>
        <v>77.2</v>
      </c>
    </row>
    <row r="1846" spans="1:12" x14ac:dyDescent="0.25">
      <c r="A1846" s="5">
        <v>45596</v>
      </c>
      <c r="B1846" s="1" t="s">
        <v>11</v>
      </c>
      <c r="C1846" s="1" t="s">
        <v>19</v>
      </c>
      <c r="D1846" s="1" t="s">
        <v>30</v>
      </c>
      <c r="E1846" s="10">
        <v>3</v>
      </c>
      <c r="F1846" s="10">
        <v>1119</v>
      </c>
      <c r="G1846" s="1" t="s">
        <v>35</v>
      </c>
      <c r="H1846" s="10">
        <f t="shared" si="58"/>
        <v>3357</v>
      </c>
      <c r="I1846" s="7">
        <v>2263.5754825942772</v>
      </c>
      <c r="J1846" s="7">
        <f t="shared" si="59"/>
        <v>1093.4245174057228</v>
      </c>
      <c r="K1846" s="1">
        <f>IF(B1846="North",28.6,
IF(B1846="South",13,
IF(B1846="East",22.6,
IF(B1846="West",19,
23.5))))</f>
        <v>19</v>
      </c>
      <c r="L1846" s="1">
        <f>IF(B1846="North",77.2,
IF(B1846="South",80.2,
IF(B1846="East",88.4,
IF(B1846="West",72.8,
78.9))))</f>
        <v>72.8</v>
      </c>
    </row>
    <row r="1847" spans="1:12" x14ac:dyDescent="0.25">
      <c r="A1847" s="5">
        <v>45651</v>
      </c>
      <c r="B1847" s="1" t="s">
        <v>10</v>
      </c>
      <c r="C1847" s="1" t="s">
        <v>20</v>
      </c>
      <c r="D1847" s="1" t="s">
        <v>32</v>
      </c>
      <c r="E1847" s="10">
        <v>18</v>
      </c>
      <c r="F1847" s="10">
        <v>1073.5</v>
      </c>
      <c r="G1847" s="1" t="s">
        <v>33</v>
      </c>
      <c r="H1847" s="10">
        <f t="shared" si="58"/>
        <v>19323</v>
      </c>
      <c r="I1847" s="7">
        <f>H1847*0.7</f>
        <v>13526.099999999999</v>
      </c>
      <c r="J1847" s="7">
        <f t="shared" si="59"/>
        <v>5796.9000000000015</v>
      </c>
      <c r="K1847" s="1">
        <f>IF(B1847="North",28.6,
IF(B1847="South",13,
IF(B1847="East",22.6,
IF(B1847="West",19,
23.5))))</f>
        <v>28.6</v>
      </c>
      <c r="L1847" s="1">
        <f>IF(B1847="North",77.2,
IF(B1847="South",80.2,
IF(B1847="East",88.4,
IF(B1847="West",72.8,
78.9))))</f>
        <v>77.2</v>
      </c>
    </row>
    <row r="1848" spans="1:12" x14ac:dyDescent="0.25">
      <c r="A1848" s="5">
        <v>45608</v>
      </c>
      <c r="B1848" s="1" t="s">
        <v>12</v>
      </c>
      <c r="C1848" s="1" t="s">
        <v>22</v>
      </c>
      <c r="D1848" s="1" t="s">
        <v>26</v>
      </c>
      <c r="E1848" s="10">
        <v>9</v>
      </c>
      <c r="F1848" s="10">
        <v>1503</v>
      </c>
      <c r="G1848" s="1" t="s">
        <v>35</v>
      </c>
      <c r="H1848" s="10">
        <f t="shared" si="58"/>
        <v>13527</v>
      </c>
      <c r="I1848" s="7">
        <v>12086.03061886089</v>
      </c>
      <c r="J1848" s="7">
        <f t="shared" si="59"/>
        <v>1440.9693811391098</v>
      </c>
      <c r="K1848" s="1">
        <f>IF(B1848="North",28.6,
IF(B1848="South",13,
IF(B1848="East",22.6,
IF(B1848="West",19,
23.5))))</f>
        <v>22.6</v>
      </c>
      <c r="L1848" s="1">
        <f>IF(B1848="North",77.2,
IF(B1848="South",80.2,
IF(B1848="East",88.4,
IF(B1848="West",72.8,
78.9))))</f>
        <v>88.4</v>
      </c>
    </row>
    <row r="1849" spans="1:12" x14ac:dyDescent="0.25">
      <c r="A1849" s="5">
        <v>45414</v>
      </c>
      <c r="B1849" s="1" t="s">
        <v>13</v>
      </c>
      <c r="C1849" s="1" t="s">
        <v>24</v>
      </c>
      <c r="D1849" s="1" t="s">
        <v>31</v>
      </c>
      <c r="E1849" s="10">
        <v>6</v>
      </c>
      <c r="F1849" s="10">
        <v>1526</v>
      </c>
      <c r="G1849" s="1" t="s">
        <v>35</v>
      </c>
      <c r="H1849" s="10">
        <f t="shared" si="58"/>
        <v>9156</v>
      </c>
      <c r="I1849" s="7">
        <v>7345.7439074920867</v>
      </c>
      <c r="J1849" s="7">
        <f t="shared" si="59"/>
        <v>1810.2560925079133</v>
      </c>
      <c r="K1849" s="1">
        <f>IF(B1849="North",28.6,
IF(B1849="South",13,
IF(B1849="East",22.6,
IF(B1849="West",19,
23.5))))</f>
        <v>13</v>
      </c>
      <c r="L1849" s="1">
        <f>IF(B1849="North",77.2,
IF(B1849="South",80.2,
IF(B1849="East",88.4,
IF(B1849="West",72.8,
78.9))))</f>
        <v>80.2</v>
      </c>
    </row>
    <row r="1850" spans="1:12" x14ac:dyDescent="0.25">
      <c r="A1850" s="5">
        <v>45300</v>
      </c>
      <c r="B1850" s="1" t="s">
        <v>12</v>
      </c>
      <c r="C1850" s="1" t="s">
        <v>17</v>
      </c>
      <c r="D1850" s="1" t="s">
        <v>29</v>
      </c>
      <c r="E1850" s="10">
        <v>1</v>
      </c>
      <c r="F1850" s="10">
        <v>763</v>
      </c>
      <c r="G1850" s="1" t="s">
        <v>33</v>
      </c>
      <c r="H1850" s="10">
        <f t="shared" si="58"/>
        <v>763</v>
      </c>
      <c r="I1850" s="7">
        <v>671.0617798976391</v>
      </c>
      <c r="J1850" s="7">
        <f t="shared" si="59"/>
        <v>91.938220102360901</v>
      </c>
      <c r="K1850" s="1">
        <f>IF(B1850="North",28.6,
IF(B1850="South",13,
IF(B1850="East",22.6,
IF(B1850="West",19,
23.5))))</f>
        <v>22.6</v>
      </c>
      <c r="L1850" s="1">
        <f>IF(B1850="North",77.2,
IF(B1850="South",80.2,
IF(B1850="East",88.4,
IF(B1850="West",72.8,
78.9))))</f>
        <v>88.4</v>
      </c>
    </row>
    <row r="1851" spans="1:12" x14ac:dyDescent="0.25">
      <c r="A1851" s="5">
        <v>45553</v>
      </c>
      <c r="B1851" s="1" t="s">
        <v>13</v>
      </c>
      <c r="C1851" s="1" t="s">
        <v>24</v>
      </c>
      <c r="D1851" s="1" t="s">
        <v>26</v>
      </c>
      <c r="E1851" s="10">
        <v>10</v>
      </c>
      <c r="F1851" s="10">
        <v>1872</v>
      </c>
      <c r="G1851" s="1" t="s">
        <v>35</v>
      </c>
      <c r="H1851" s="10">
        <f t="shared" si="58"/>
        <v>18720</v>
      </c>
      <c r="I1851" s="7">
        <v>15921.33204470228</v>
      </c>
      <c r="J1851" s="7">
        <f t="shared" si="59"/>
        <v>2798.6679552977203</v>
      </c>
      <c r="K1851" s="1">
        <f>IF(B1851="North",28.6,
IF(B1851="South",13,
IF(B1851="East",22.6,
IF(B1851="West",19,
23.5))))</f>
        <v>13</v>
      </c>
      <c r="L1851" s="1">
        <f>IF(B1851="North",77.2,
IF(B1851="South",80.2,
IF(B1851="East",88.4,
IF(B1851="West",72.8,
78.9))))</f>
        <v>80.2</v>
      </c>
    </row>
    <row r="1852" spans="1:12" x14ac:dyDescent="0.25">
      <c r="A1852" s="5">
        <v>45364</v>
      </c>
      <c r="B1852" s="1" t="s">
        <v>10</v>
      </c>
      <c r="C1852" s="1" t="s">
        <v>18</v>
      </c>
      <c r="D1852" s="1" t="s">
        <v>30</v>
      </c>
      <c r="E1852" s="10">
        <v>6</v>
      </c>
      <c r="F1852" s="10">
        <v>699</v>
      </c>
      <c r="G1852" s="1" t="s">
        <v>34</v>
      </c>
      <c r="H1852" s="10">
        <f t="shared" si="58"/>
        <v>4194</v>
      </c>
      <c r="I1852" s="7">
        <v>3244.3926209711822</v>
      </c>
      <c r="J1852" s="7">
        <f t="shared" si="59"/>
        <v>949.60737902881783</v>
      </c>
      <c r="K1852" s="1">
        <f>IF(B1852="North",28.6,
IF(B1852="South",13,
IF(B1852="East",22.6,
IF(B1852="West",19,
23.5))))</f>
        <v>28.6</v>
      </c>
      <c r="L1852" s="1">
        <f>IF(B1852="North",77.2,
IF(B1852="South",80.2,
IF(B1852="East",88.4,
IF(B1852="West",72.8,
78.9))))</f>
        <v>77.2</v>
      </c>
    </row>
    <row r="1853" spans="1:12" x14ac:dyDescent="0.25">
      <c r="A1853" s="5">
        <v>45650</v>
      </c>
      <c r="B1853" s="1" t="s">
        <v>12</v>
      </c>
      <c r="C1853" s="1" t="s">
        <v>20</v>
      </c>
      <c r="D1853" s="1" t="s">
        <v>28</v>
      </c>
      <c r="E1853" s="10">
        <v>12</v>
      </c>
      <c r="F1853" s="10">
        <v>110</v>
      </c>
      <c r="G1853" s="1" t="s">
        <v>33</v>
      </c>
      <c r="H1853" s="10">
        <f t="shared" si="58"/>
        <v>1320</v>
      </c>
      <c r="I1853" s="7">
        <v>1059.4536180012431</v>
      </c>
      <c r="J1853" s="7">
        <f t="shared" si="59"/>
        <v>260.54638199875694</v>
      </c>
      <c r="K1853" s="1">
        <f>IF(B1853="North",28.6,
IF(B1853="South",13,
IF(B1853="East",22.6,
IF(B1853="West",19,
23.5))))</f>
        <v>22.6</v>
      </c>
      <c r="L1853" s="1">
        <f>IF(B1853="North",77.2,
IF(B1853="South",80.2,
IF(B1853="East",88.4,
IF(B1853="West",72.8,
78.9))))</f>
        <v>88.4</v>
      </c>
    </row>
    <row r="1854" spans="1:12" x14ac:dyDescent="0.25">
      <c r="A1854" s="5">
        <v>45514</v>
      </c>
      <c r="B1854" s="1" t="s">
        <v>12</v>
      </c>
      <c r="C1854" s="1" t="s">
        <v>17</v>
      </c>
      <c r="D1854" s="1" t="s">
        <v>32</v>
      </c>
      <c r="E1854" s="10">
        <v>10</v>
      </c>
      <c r="F1854" s="10">
        <v>286</v>
      </c>
      <c r="G1854" s="1" t="s">
        <v>33</v>
      </c>
      <c r="H1854" s="10">
        <f t="shared" si="58"/>
        <v>2860</v>
      </c>
      <c r="I1854" s="7">
        <f>H1854*0.7</f>
        <v>2001.9999999999998</v>
      </c>
      <c r="J1854" s="7">
        <f t="shared" si="59"/>
        <v>858.00000000000023</v>
      </c>
      <c r="K1854" s="1">
        <f>IF(B1854="North",28.6,
IF(B1854="South",13,
IF(B1854="East",22.6,
IF(B1854="West",19,
23.5))))</f>
        <v>22.6</v>
      </c>
      <c r="L1854" s="1">
        <f>IF(B1854="North",77.2,
IF(B1854="South",80.2,
IF(B1854="East",88.4,
IF(B1854="West",72.8,
78.9))))</f>
        <v>88.4</v>
      </c>
    </row>
    <row r="1855" spans="1:12" x14ac:dyDescent="0.25">
      <c r="A1855" s="5">
        <v>45332</v>
      </c>
      <c r="B1855" s="1" t="s">
        <v>10</v>
      </c>
      <c r="C1855" s="1" t="s">
        <v>24</v>
      </c>
      <c r="D1855" s="1" t="s">
        <v>26</v>
      </c>
      <c r="E1855" s="10">
        <v>13</v>
      </c>
      <c r="F1855" s="10">
        <v>825</v>
      </c>
      <c r="G1855" s="1" t="s">
        <v>35</v>
      </c>
      <c r="H1855" s="10">
        <f t="shared" si="58"/>
        <v>10725</v>
      </c>
      <c r="I1855" s="7">
        <v>8578.7012867720732</v>
      </c>
      <c r="J1855" s="7">
        <f t="shared" si="59"/>
        <v>2146.2987132279268</v>
      </c>
      <c r="K1855" s="1">
        <f>IF(B1855="North",28.6,
IF(B1855="South",13,
IF(B1855="East",22.6,
IF(B1855="West",19,
23.5))))</f>
        <v>28.6</v>
      </c>
      <c r="L1855" s="1">
        <f>IF(B1855="North",77.2,
IF(B1855="South",80.2,
IF(B1855="East",88.4,
IF(B1855="West",72.8,
78.9))))</f>
        <v>77.2</v>
      </c>
    </row>
    <row r="1856" spans="1:12" x14ac:dyDescent="0.25">
      <c r="A1856" s="5">
        <v>45495</v>
      </c>
      <c r="B1856" s="1" t="s">
        <v>12</v>
      </c>
      <c r="C1856" s="1" t="s">
        <v>23</v>
      </c>
      <c r="D1856" s="1" t="s">
        <v>29</v>
      </c>
      <c r="E1856" s="10">
        <v>17</v>
      </c>
      <c r="F1856" s="10">
        <v>1138</v>
      </c>
      <c r="G1856" s="1" t="s">
        <v>34</v>
      </c>
      <c r="H1856" s="10">
        <f t="shared" si="58"/>
        <v>19346</v>
      </c>
      <c r="I1856" s="7">
        <v>13144.293394763779</v>
      </c>
      <c r="J1856" s="7">
        <f t="shared" si="59"/>
        <v>6201.7066052362206</v>
      </c>
      <c r="K1856" s="1">
        <f>IF(B1856="North",28.6,
IF(B1856="South",13,
IF(B1856="East",22.6,
IF(B1856="West",19,
23.5))))</f>
        <v>22.6</v>
      </c>
      <c r="L1856" s="1">
        <f>IF(B1856="North",77.2,
IF(B1856="South",80.2,
IF(B1856="East",88.4,
IF(B1856="West",72.8,
78.9))))</f>
        <v>88.4</v>
      </c>
    </row>
    <row r="1857" spans="1:12" x14ac:dyDescent="0.25">
      <c r="A1857" s="5">
        <v>45555</v>
      </c>
      <c r="B1857" s="1" t="s">
        <v>11</v>
      </c>
      <c r="C1857" s="1" t="s">
        <v>20</v>
      </c>
      <c r="D1857" s="1" t="s">
        <v>27</v>
      </c>
      <c r="E1857" s="10">
        <v>8</v>
      </c>
      <c r="F1857" s="10">
        <v>877</v>
      </c>
      <c r="G1857" s="1" t="s">
        <v>33</v>
      </c>
      <c r="H1857" s="10">
        <f t="shared" si="58"/>
        <v>7016</v>
      </c>
      <c r="I1857" s="7">
        <v>5068.6217824808664</v>
      </c>
      <c r="J1857" s="7">
        <f t="shared" si="59"/>
        <v>1947.3782175191336</v>
      </c>
      <c r="K1857" s="1">
        <f>IF(B1857="North",28.6,
IF(B1857="South",13,
IF(B1857="East",22.6,
IF(B1857="West",19,
23.5))))</f>
        <v>19</v>
      </c>
      <c r="L1857" s="1">
        <f>IF(B1857="North",77.2,
IF(B1857="South",80.2,
IF(B1857="East",88.4,
IF(B1857="West",72.8,
78.9))))</f>
        <v>72.8</v>
      </c>
    </row>
    <row r="1858" spans="1:12" x14ac:dyDescent="0.25">
      <c r="A1858" s="5">
        <v>45619</v>
      </c>
      <c r="B1858" s="1" t="s">
        <v>13</v>
      </c>
      <c r="C1858" s="1" t="s">
        <v>22</v>
      </c>
      <c r="D1858" s="1" t="s">
        <v>31</v>
      </c>
      <c r="E1858" s="10">
        <v>3</v>
      </c>
      <c r="F1858" s="10">
        <v>1420</v>
      </c>
      <c r="G1858" s="1" t="s">
        <v>35</v>
      </c>
      <c r="H1858" s="10">
        <f t="shared" si="58"/>
        <v>4260</v>
      </c>
      <c r="I1858" s="7">
        <v>3313.363007222431</v>
      </c>
      <c r="J1858" s="7">
        <f t="shared" si="59"/>
        <v>946.63699277756905</v>
      </c>
      <c r="K1858" s="1">
        <f>IF(B1858="North",28.6,
IF(B1858="South",13,
IF(B1858="East",22.6,
IF(B1858="West",19,
23.5))))</f>
        <v>13</v>
      </c>
      <c r="L1858" s="1">
        <f>IF(B1858="North",77.2,
IF(B1858="South",80.2,
IF(B1858="East",88.4,
IF(B1858="West",72.8,
78.9))))</f>
        <v>80.2</v>
      </c>
    </row>
    <row r="1859" spans="1:12" x14ac:dyDescent="0.25">
      <c r="A1859" s="5">
        <v>45469</v>
      </c>
      <c r="B1859" s="1" t="s">
        <v>13</v>
      </c>
      <c r="C1859" s="1" t="s">
        <v>23</v>
      </c>
      <c r="D1859" s="1" t="s">
        <v>29</v>
      </c>
      <c r="E1859" s="10">
        <v>12</v>
      </c>
      <c r="F1859" s="10">
        <v>510</v>
      </c>
      <c r="G1859" s="1" t="s">
        <v>34</v>
      </c>
      <c r="H1859" s="10">
        <f t="shared" ref="H1859:H1922" si="60">E1859*F1859</f>
        <v>6120</v>
      </c>
      <c r="I1859" s="7">
        <v>3737.9646618425541</v>
      </c>
      <c r="J1859" s="7">
        <f t="shared" ref="J1859:J1922" si="61">H1859-I1859</f>
        <v>2382.0353381574459</v>
      </c>
      <c r="K1859" s="1">
        <f>IF(B1859="North",28.6,
IF(B1859="South",13,
IF(B1859="East",22.6,
IF(B1859="West",19,
23.5))))</f>
        <v>13</v>
      </c>
      <c r="L1859" s="1">
        <f>IF(B1859="North",77.2,
IF(B1859="South",80.2,
IF(B1859="East",88.4,
IF(B1859="West",72.8,
78.9))))</f>
        <v>80.2</v>
      </c>
    </row>
    <row r="1860" spans="1:12" x14ac:dyDescent="0.25">
      <c r="A1860" s="5">
        <v>45639</v>
      </c>
      <c r="B1860" s="1" t="s">
        <v>13</v>
      </c>
      <c r="C1860" s="1" t="s">
        <v>20</v>
      </c>
      <c r="D1860" s="1" t="s">
        <v>26</v>
      </c>
      <c r="E1860" s="10">
        <v>7</v>
      </c>
      <c r="F1860" s="10">
        <v>1055</v>
      </c>
      <c r="G1860" s="1" t="s">
        <v>33</v>
      </c>
      <c r="H1860" s="10">
        <f t="shared" si="60"/>
        <v>7385</v>
      </c>
      <c r="I1860" s="7">
        <v>5500.7207240554517</v>
      </c>
      <c r="J1860" s="7">
        <f t="shared" si="61"/>
        <v>1884.2792759445483</v>
      </c>
      <c r="K1860" s="1">
        <f>IF(B1860="North",28.6,
IF(B1860="South",13,
IF(B1860="East",22.6,
IF(B1860="West",19,
23.5))))</f>
        <v>13</v>
      </c>
      <c r="L1860" s="1">
        <f>IF(B1860="North",77.2,
IF(B1860="South",80.2,
IF(B1860="East",88.4,
IF(B1860="West",72.8,
78.9))))</f>
        <v>80.2</v>
      </c>
    </row>
    <row r="1861" spans="1:12" x14ac:dyDescent="0.25">
      <c r="A1861" s="5">
        <v>45609</v>
      </c>
      <c r="B1861" s="1" t="s">
        <v>11</v>
      </c>
      <c r="C1861" s="1" t="s">
        <v>21</v>
      </c>
      <c r="D1861" s="1" t="s">
        <v>31</v>
      </c>
      <c r="E1861" s="10">
        <v>12</v>
      </c>
      <c r="F1861" s="10">
        <v>684</v>
      </c>
      <c r="G1861" s="1" t="s">
        <v>35</v>
      </c>
      <c r="H1861" s="10">
        <f t="shared" si="60"/>
        <v>8208</v>
      </c>
      <c r="I1861" s="7">
        <v>7041.7916007988742</v>
      </c>
      <c r="J1861" s="7">
        <f t="shared" si="61"/>
        <v>1166.2083992011258</v>
      </c>
      <c r="K1861" s="1">
        <f>IF(B1861="North",28.6,
IF(B1861="South",13,
IF(B1861="East",22.6,
IF(B1861="West",19,
23.5))))</f>
        <v>19</v>
      </c>
      <c r="L1861" s="1">
        <f>IF(B1861="North",77.2,
IF(B1861="South",80.2,
IF(B1861="East",88.4,
IF(B1861="West",72.8,
78.9))))</f>
        <v>72.8</v>
      </c>
    </row>
    <row r="1862" spans="1:12" x14ac:dyDescent="0.25">
      <c r="A1862" s="5">
        <v>45375</v>
      </c>
      <c r="B1862" s="1" t="s">
        <v>13</v>
      </c>
      <c r="C1862" s="1" t="s">
        <v>17</v>
      </c>
      <c r="D1862" s="1" t="s">
        <v>32</v>
      </c>
      <c r="E1862" s="10">
        <v>2</v>
      </c>
      <c r="F1862" s="10">
        <v>1175</v>
      </c>
      <c r="G1862" s="1" t="s">
        <v>33</v>
      </c>
      <c r="H1862" s="10">
        <f t="shared" si="60"/>
        <v>2350</v>
      </c>
      <c r="I1862" s="7">
        <v>1757.1192479476581</v>
      </c>
      <c r="J1862" s="7">
        <f t="shared" si="61"/>
        <v>592.8807520523419</v>
      </c>
      <c r="K1862" s="1">
        <f>IF(B1862="North",28.6,
IF(B1862="South",13,
IF(B1862="East",22.6,
IF(B1862="West",19,
23.5))))</f>
        <v>13</v>
      </c>
      <c r="L1862" s="1">
        <f>IF(B1862="North",77.2,
IF(B1862="South",80.2,
IF(B1862="East",88.4,
IF(B1862="West",72.8,
78.9))))</f>
        <v>80.2</v>
      </c>
    </row>
    <row r="1863" spans="1:12" x14ac:dyDescent="0.25">
      <c r="A1863" s="5">
        <v>45609</v>
      </c>
      <c r="B1863" s="1" t="s">
        <v>10</v>
      </c>
      <c r="C1863" s="1" t="s">
        <v>19</v>
      </c>
      <c r="D1863" s="1" t="s">
        <v>27</v>
      </c>
      <c r="E1863" s="10">
        <v>14</v>
      </c>
      <c r="F1863" s="10">
        <v>1763</v>
      </c>
      <c r="G1863" s="1" t="s">
        <v>35</v>
      </c>
      <c r="H1863" s="10">
        <f t="shared" si="60"/>
        <v>24682</v>
      </c>
      <c r="I1863" s="7">
        <v>18898.93361554651</v>
      </c>
      <c r="J1863" s="7">
        <f t="shared" si="61"/>
        <v>5783.0663844534902</v>
      </c>
      <c r="K1863" s="1">
        <f>IF(B1863="North",28.6,
IF(B1863="South",13,
IF(B1863="East",22.6,
IF(B1863="West",19,
23.5))))</f>
        <v>28.6</v>
      </c>
      <c r="L1863" s="1">
        <f>IF(B1863="North",77.2,
IF(B1863="South",80.2,
IF(B1863="East",88.4,
IF(B1863="West",72.8,
78.9))))</f>
        <v>77.2</v>
      </c>
    </row>
    <row r="1864" spans="1:12" x14ac:dyDescent="0.25">
      <c r="A1864" s="5">
        <v>45402</v>
      </c>
      <c r="B1864" s="1" t="s">
        <v>12</v>
      </c>
      <c r="C1864" s="1" t="s">
        <v>22</v>
      </c>
      <c r="D1864" s="1" t="s">
        <v>36</v>
      </c>
      <c r="E1864" s="10">
        <v>5</v>
      </c>
      <c r="F1864" s="10">
        <v>1151</v>
      </c>
      <c r="G1864" s="1" t="s">
        <v>35</v>
      </c>
      <c r="H1864" s="10">
        <f t="shared" si="60"/>
        <v>5755</v>
      </c>
      <c r="I1864" s="7">
        <v>3801.5891905694771</v>
      </c>
      <c r="J1864" s="7">
        <f t="shared" si="61"/>
        <v>1953.4108094305229</v>
      </c>
      <c r="K1864" s="1">
        <f>IF(B1864="North",28.6,
IF(B1864="South",13,
IF(B1864="East",22.6,
IF(B1864="West",19,
23.5))))</f>
        <v>22.6</v>
      </c>
      <c r="L1864" s="1">
        <f>IF(B1864="North",77.2,
IF(B1864="South",80.2,
IF(B1864="East",88.4,
IF(B1864="West",72.8,
78.9))))</f>
        <v>88.4</v>
      </c>
    </row>
    <row r="1865" spans="1:12" x14ac:dyDescent="0.25">
      <c r="A1865" s="5">
        <v>45542</v>
      </c>
      <c r="B1865" s="1" t="s">
        <v>11</v>
      </c>
      <c r="C1865" s="1" t="s">
        <v>18</v>
      </c>
      <c r="D1865" s="1" t="s">
        <v>29</v>
      </c>
      <c r="E1865" s="10">
        <v>9</v>
      </c>
      <c r="F1865" s="10">
        <v>676</v>
      </c>
      <c r="G1865" s="1" t="s">
        <v>34</v>
      </c>
      <c r="H1865" s="10">
        <f t="shared" si="60"/>
        <v>6084</v>
      </c>
      <c r="I1865" s="7">
        <v>5100.2354714422208</v>
      </c>
      <c r="J1865" s="7">
        <f t="shared" si="61"/>
        <v>983.76452855777916</v>
      </c>
      <c r="K1865" s="1">
        <f>IF(B1865="North",28.6,
IF(B1865="South",13,
IF(B1865="East",22.6,
IF(B1865="West",19,
23.5))))</f>
        <v>19</v>
      </c>
      <c r="L1865" s="1">
        <f>IF(B1865="North",77.2,
IF(B1865="South",80.2,
IF(B1865="East",88.4,
IF(B1865="West",72.8,
78.9))))</f>
        <v>72.8</v>
      </c>
    </row>
    <row r="1866" spans="1:12" x14ac:dyDescent="0.25">
      <c r="A1866" s="5">
        <v>45298</v>
      </c>
      <c r="B1866" s="1" t="s">
        <v>13</v>
      </c>
      <c r="C1866" s="1" t="s">
        <v>23</v>
      </c>
      <c r="D1866" s="1" t="s">
        <v>28</v>
      </c>
      <c r="E1866" s="10">
        <v>-3</v>
      </c>
      <c r="F1866" s="10">
        <v>1140</v>
      </c>
      <c r="G1866" s="1" t="s">
        <v>34</v>
      </c>
      <c r="H1866" s="10">
        <f t="shared" si="60"/>
        <v>-3420</v>
      </c>
      <c r="I1866" s="7">
        <v>-2420.2091235265052</v>
      </c>
      <c r="J1866" s="7">
        <f t="shared" si="61"/>
        <v>-999.79087647349479</v>
      </c>
      <c r="K1866" s="1">
        <f>IF(B1866="North",28.6,
IF(B1866="South",13,
IF(B1866="East",22.6,
IF(B1866="West",19,
23.5))))</f>
        <v>13</v>
      </c>
      <c r="L1866" s="1">
        <f>IF(B1866="North",77.2,
IF(B1866="South",80.2,
IF(B1866="East",88.4,
IF(B1866="West",72.8,
78.9))))</f>
        <v>80.2</v>
      </c>
    </row>
    <row r="1867" spans="1:12" x14ac:dyDescent="0.25">
      <c r="A1867" s="5">
        <v>45375</v>
      </c>
      <c r="B1867" s="1" t="s">
        <v>10</v>
      </c>
      <c r="C1867" s="1" t="s">
        <v>23</v>
      </c>
      <c r="D1867" s="1" t="s">
        <v>27</v>
      </c>
      <c r="E1867" s="10">
        <v>5</v>
      </c>
      <c r="F1867" s="10">
        <v>1474</v>
      </c>
      <c r="G1867" s="1" t="s">
        <v>34</v>
      </c>
      <c r="H1867" s="10">
        <f t="shared" si="60"/>
        <v>7370</v>
      </c>
      <c r="I1867" s="7">
        <v>6537.0150807432728</v>
      </c>
      <c r="J1867" s="7">
        <f t="shared" si="61"/>
        <v>832.98491925672715</v>
      </c>
      <c r="K1867" s="1">
        <f>IF(B1867="North",28.6,
IF(B1867="South",13,
IF(B1867="East",22.6,
IF(B1867="West",19,
23.5))))</f>
        <v>28.6</v>
      </c>
      <c r="L1867" s="1">
        <f>IF(B1867="North",77.2,
IF(B1867="South",80.2,
IF(B1867="East",88.4,
IF(B1867="West",72.8,
78.9))))</f>
        <v>77.2</v>
      </c>
    </row>
    <row r="1868" spans="1:12" x14ac:dyDescent="0.25">
      <c r="A1868" s="5">
        <v>45499</v>
      </c>
      <c r="B1868" s="1" t="s">
        <v>12</v>
      </c>
      <c r="C1868" s="1" t="s">
        <v>24</v>
      </c>
      <c r="D1868" s="1" t="s">
        <v>31</v>
      </c>
      <c r="E1868" s="10">
        <v>3</v>
      </c>
      <c r="F1868" s="10">
        <v>1551</v>
      </c>
      <c r="G1868" s="1" t="s">
        <v>35</v>
      </c>
      <c r="H1868" s="10">
        <f t="shared" si="60"/>
        <v>4653</v>
      </c>
      <c r="I1868" s="7">
        <v>4178.9265008495468</v>
      </c>
      <c r="J1868" s="7">
        <f t="shared" si="61"/>
        <v>474.07349915045324</v>
      </c>
      <c r="K1868" s="1">
        <f>IF(B1868="North",28.6,
IF(B1868="South",13,
IF(B1868="East",22.6,
IF(B1868="West",19,
23.5))))</f>
        <v>22.6</v>
      </c>
      <c r="L1868" s="1">
        <f>IF(B1868="North",77.2,
IF(B1868="South",80.2,
IF(B1868="East",88.4,
IF(B1868="West",72.8,
78.9))))</f>
        <v>88.4</v>
      </c>
    </row>
    <row r="1869" spans="1:12" x14ac:dyDescent="0.25">
      <c r="A1869" s="5">
        <v>45605</v>
      </c>
      <c r="B1869" s="1" t="s">
        <v>12</v>
      </c>
      <c r="C1869" s="1" t="s">
        <v>17</v>
      </c>
      <c r="D1869" s="1" t="s">
        <v>32</v>
      </c>
      <c r="E1869" s="10">
        <v>17</v>
      </c>
      <c r="F1869" s="10">
        <v>1773</v>
      </c>
      <c r="G1869" s="1" t="s">
        <v>33</v>
      </c>
      <c r="H1869" s="10">
        <f t="shared" si="60"/>
        <v>30141</v>
      </c>
      <c r="I1869" s="7">
        <v>26367.351706314392</v>
      </c>
      <c r="J1869" s="7">
        <f t="shared" si="61"/>
        <v>3773.6482936856082</v>
      </c>
      <c r="K1869" s="1">
        <f>IF(B1869="North",28.6,
IF(B1869="South",13,
IF(B1869="East",22.6,
IF(B1869="West",19,
23.5))))</f>
        <v>22.6</v>
      </c>
      <c r="L1869" s="1">
        <f>IF(B1869="North",77.2,
IF(B1869="South",80.2,
IF(B1869="East",88.4,
IF(B1869="West",72.8,
78.9))))</f>
        <v>88.4</v>
      </c>
    </row>
    <row r="1870" spans="1:12" x14ac:dyDescent="0.25">
      <c r="A1870" s="5">
        <v>45313</v>
      </c>
      <c r="B1870" s="1" t="s">
        <v>11</v>
      </c>
      <c r="C1870" s="1" t="s">
        <v>18</v>
      </c>
      <c r="D1870" s="1" t="s">
        <v>26</v>
      </c>
      <c r="E1870" s="10">
        <v>2</v>
      </c>
      <c r="F1870" s="10">
        <v>1954</v>
      </c>
      <c r="G1870" s="1" t="s">
        <v>34</v>
      </c>
      <c r="H1870" s="10">
        <f t="shared" si="60"/>
        <v>3908</v>
      </c>
      <c r="I1870" s="7">
        <v>2444.3094956224468</v>
      </c>
      <c r="J1870" s="7">
        <f t="shared" si="61"/>
        <v>1463.6905043775532</v>
      </c>
      <c r="K1870" s="1">
        <f>IF(B1870="North",28.6,
IF(B1870="South",13,
IF(B1870="East",22.6,
IF(B1870="West",19,
23.5))))</f>
        <v>19</v>
      </c>
      <c r="L1870" s="1">
        <f>IF(B1870="North",77.2,
IF(B1870="South",80.2,
IF(B1870="East",88.4,
IF(B1870="West",72.8,
78.9))))</f>
        <v>72.8</v>
      </c>
    </row>
    <row r="1871" spans="1:12" x14ac:dyDescent="0.25">
      <c r="A1871" s="5">
        <v>45294</v>
      </c>
      <c r="B1871" s="1" t="s">
        <v>11</v>
      </c>
      <c r="C1871" s="1" t="s">
        <v>19</v>
      </c>
      <c r="D1871" s="1" t="s">
        <v>27</v>
      </c>
      <c r="E1871" s="10">
        <v>1</v>
      </c>
      <c r="F1871" s="10">
        <v>1352</v>
      </c>
      <c r="G1871" s="1" t="s">
        <v>35</v>
      </c>
      <c r="H1871" s="10">
        <f t="shared" si="60"/>
        <v>1352</v>
      </c>
      <c r="I1871" s="7">
        <v>946.33908786918857</v>
      </c>
      <c r="J1871" s="7">
        <f t="shared" si="61"/>
        <v>405.66091213081143</v>
      </c>
      <c r="K1871" s="1">
        <f>IF(B1871="North",28.6,
IF(B1871="South",13,
IF(B1871="East",22.6,
IF(B1871="West",19,
23.5))))</f>
        <v>19</v>
      </c>
      <c r="L1871" s="1">
        <f>IF(B1871="North",77.2,
IF(B1871="South",80.2,
IF(B1871="East",88.4,
IF(B1871="West",72.8,
78.9))))</f>
        <v>72.8</v>
      </c>
    </row>
    <row r="1872" spans="1:12" x14ac:dyDescent="0.25">
      <c r="A1872" s="5">
        <v>45418</v>
      </c>
      <c r="B1872" s="1" t="s">
        <v>11</v>
      </c>
      <c r="C1872" s="1" t="s">
        <v>20</v>
      </c>
      <c r="D1872" s="1" t="s">
        <v>30</v>
      </c>
      <c r="E1872" s="10">
        <v>7</v>
      </c>
      <c r="F1872" s="10">
        <v>1889</v>
      </c>
      <c r="G1872" s="1" t="s">
        <v>33</v>
      </c>
      <c r="H1872" s="10">
        <f t="shared" si="60"/>
        <v>13223</v>
      </c>
      <c r="I1872" s="7">
        <v>11683.066484688179</v>
      </c>
      <c r="J1872" s="7">
        <f t="shared" si="61"/>
        <v>1539.9335153118209</v>
      </c>
      <c r="K1872" s="1">
        <f>IF(B1872="North",28.6,
IF(B1872="South",13,
IF(B1872="East",22.6,
IF(B1872="West",19,
23.5))))</f>
        <v>19</v>
      </c>
      <c r="L1872" s="1">
        <f>IF(B1872="North",77.2,
IF(B1872="South",80.2,
IF(B1872="East",88.4,
IF(B1872="West",72.8,
78.9))))</f>
        <v>72.8</v>
      </c>
    </row>
    <row r="1873" spans="1:12" x14ac:dyDescent="0.25">
      <c r="A1873" s="5">
        <v>45588</v>
      </c>
      <c r="B1873" s="1" t="s">
        <v>10</v>
      </c>
      <c r="C1873" s="1" t="s">
        <v>19</v>
      </c>
      <c r="D1873" s="1" t="s">
        <v>31</v>
      </c>
      <c r="E1873" s="10">
        <v>14</v>
      </c>
      <c r="F1873" s="10">
        <v>1088</v>
      </c>
      <c r="G1873" s="1" t="s">
        <v>35</v>
      </c>
      <c r="H1873" s="10">
        <f t="shared" si="60"/>
        <v>15232</v>
      </c>
      <c r="I1873" s="7">
        <v>12815.59534412114</v>
      </c>
      <c r="J1873" s="7">
        <f t="shared" si="61"/>
        <v>2416.4046558788596</v>
      </c>
      <c r="K1873" s="1">
        <f>IF(B1873="North",28.6,
IF(B1873="South",13,
IF(B1873="East",22.6,
IF(B1873="West",19,
23.5))))</f>
        <v>28.6</v>
      </c>
      <c r="L1873" s="1">
        <f>IF(B1873="North",77.2,
IF(B1873="South",80.2,
IF(B1873="East",88.4,
IF(B1873="West",72.8,
78.9))))</f>
        <v>77.2</v>
      </c>
    </row>
    <row r="1874" spans="1:12" x14ac:dyDescent="0.25">
      <c r="A1874" s="5">
        <v>45479</v>
      </c>
      <c r="B1874" s="1" t="s">
        <v>10</v>
      </c>
      <c r="C1874" s="1" t="s">
        <v>17</v>
      </c>
      <c r="D1874" s="1" t="s">
        <v>28</v>
      </c>
      <c r="E1874" s="10">
        <v>5</v>
      </c>
      <c r="F1874" s="10">
        <v>1333</v>
      </c>
      <c r="G1874" s="1" t="s">
        <v>33</v>
      </c>
      <c r="H1874" s="10">
        <f t="shared" si="60"/>
        <v>6665</v>
      </c>
      <c r="I1874" s="7">
        <v>5820.9115868202052</v>
      </c>
      <c r="J1874" s="7">
        <f t="shared" si="61"/>
        <v>844.08841317979477</v>
      </c>
      <c r="K1874" s="1">
        <f>IF(B1874="North",28.6,
IF(B1874="South",13,
IF(B1874="East",22.6,
IF(B1874="West",19,
23.5))))</f>
        <v>28.6</v>
      </c>
      <c r="L1874" s="1">
        <f>IF(B1874="North",77.2,
IF(B1874="South",80.2,
IF(B1874="East",88.4,
IF(B1874="West",72.8,
78.9))))</f>
        <v>77.2</v>
      </c>
    </row>
    <row r="1875" spans="1:12" x14ac:dyDescent="0.25">
      <c r="A1875" s="5">
        <v>45653</v>
      </c>
      <c r="B1875" s="1" t="s">
        <v>11</v>
      </c>
      <c r="C1875" s="1" t="s">
        <v>17</v>
      </c>
      <c r="D1875" s="1" t="s">
        <v>29</v>
      </c>
      <c r="E1875" s="10">
        <v>19</v>
      </c>
      <c r="F1875" s="10">
        <v>1554</v>
      </c>
      <c r="G1875" s="1" t="s">
        <v>33</v>
      </c>
      <c r="H1875" s="10">
        <f t="shared" si="60"/>
        <v>29526</v>
      </c>
      <c r="I1875" s="7">
        <v>22787.161678634129</v>
      </c>
      <c r="J1875" s="7">
        <f t="shared" si="61"/>
        <v>6738.8383213658708</v>
      </c>
      <c r="K1875" s="1">
        <f>IF(B1875="North",28.6,
IF(B1875="South",13,
IF(B1875="East",22.6,
IF(B1875="West",19,
23.5))))</f>
        <v>19</v>
      </c>
      <c r="L1875" s="1">
        <f>IF(B1875="North",77.2,
IF(B1875="South",80.2,
IF(B1875="East",88.4,
IF(B1875="West",72.8,
78.9))))</f>
        <v>72.8</v>
      </c>
    </row>
    <row r="1876" spans="1:12" x14ac:dyDescent="0.25">
      <c r="A1876" s="5">
        <v>45305</v>
      </c>
      <c r="B1876" s="1" t="s">
        <v>13</v>
      </c>
      <c r="C1876" s="1" t="s">
        <v>21</v>
      </c>
      <c r="D1876" s="1" t="s">
        <v>27</v>
      </c>
      <c r="E1876" s="10">
        <v>11</v>
      </c>
      <c r="F1876" s="10">
        <v>1417</v>
      </c>
      <c r="G1876" s="1" t="s">
        <v>35</v>
      </c>
      <c r="H1876" s="10">
        <f t="shared" si="60"/>
        <v>15587</v>
      </c>
      <c r="I1876" s="7">
        <v>11598.587162123709</v>
      </c>
      <c r="J1876" s="7">
        <f t="shared" si="61"/>
        <v>3988.4128378762907</v>
      </c>
      <c r="K1876" s="1">
        <f>IF(B1876="North",28.6,
IF(B1876="South",13,
IF(B1876="East",22.6,
IF(B1876="West",19,
23.5))))</f>
        <v>13</v>
      </c>
      <c r="L1876" s="1">
        <f>IF(B1876="North",77.2,
IF(B1876="South",80.2,
IF(B1876="East",88.4,
IF(B1876="West",72.8,
78.9))))</f>
        <v>80.2</v>
      </c>
    </row>
    <row r="1877" spans="1:12" x14ac:dyDescent="0.25">
      <c r="A1877" s="5">
        <v>45303</v>
      </c>
      <c r="B1877" s="1" t="s">
        <v>12</v>
      </c>
      <c r="C1877" s="1" t="s">
        <v>21</v>
      </c>
      <c r="D1877" s="1" t="s">
        <v>28</v>
      </c>
      <c r="E1877" s="10">
        <v>2</v>
      </c>
      <c r="F1877" s="10">
        <v>842</v>
      </c>
      <c r="G1877" s="1" t="s">
        <v>35</v>
      </c>
      <c r="H1877" s="10">
        <f t="shared" si="60"/>
        <v>1684</v>
      </c>
      <c r="I1877" s="7">
        <v>1064.2019393506489</v>
      </c>
      <c r="J1877" s="7">
        <f t="shared" si="61"/>
        <v>619.7980606493511</v>
      </c>
      <c r="K1877" s="1">
        <f>IF(B1877="North",28.6,
IF(B1877="South",13,
IF(B1877="East",22.6,
IF(B1877="West",19,
23.5))))</f>
        <v>22.6</v>
      </c>
      <c r="L1877" s="1">
        <f>IF(B1877="North",77.2,
IF(B1877="South",80.2,
IF(B1877="East",88.4,
IF(B1877="West",72.8,
78.9))))</f>
        <v>88.4</v>
      </c>
    </row>
    <row r="1878" spans="1:12" x14ac:dyDescent="0.25">
      <c r="A1878" s="5">
        <v>45378</v>
      </c>
      <c r="B1878" s="1" t="s">
        <v>12</v>
      </c>
      <c r="C1878" s="1" t="s">
        <v>19</v>
      </c>
      <c r="D1878" s="1" t="s">
        <v>31</v>
      </c>
      <c r="E1878" s="10">
        <v>8</v>
      </c>
      <c r="F1878" s="10">
        <v>1876</v>
      </c>
      <c r="G1878" s="1" t="s">
        <v>35</v>
      </c>
      <c r="H1878" s="10">
        <f t="shared" si="60"/>
        <v>15008</v>
      </c>
      <c r="I1878" s="7">
        <v>12784.43667215552</v>
      </c>
      <c r="J1878" s="7">
        <f t="shared" si="61"/>
        <v>2223.5633278444802</v>
      </c>
      <c r="K1878" s="1">
        <f>IF(B1878="North",28.6,
IF(B1878="South",13,
IF(B1878="East",22.6,
IF(B1878="West",19,
23.5))))</f>
        <v>22.6</v>
      </c>
      <c r="L1878" s="1">
        <f>IF(B1878="North",77.2,
IF(B1878="South",80.2,
IF(B1878="East",88.4,
IF(B1878="West",72.8,
78.9))))</f>
        <v>88.4</v>
      </c>
    </row>
    <row r="1879" spans="1:12" x14ac:dyDescent="0.25">
      <c r="A1879" s="5">
        <v>45303</v>
      </c>
      <c r="B1879" s="1" t="s">
        <v>10</v>
      </c>
      <c r="C1879" s="1" t="s">
        <v>20</v>
      </c>
      <c r="D1879" s="1" t="s">
        <v>28</v>
      </c>
      <c r="E1879" s="10">
        <v>9</v>
      </c>
      <c r="F1879" s="10">
        <v>1705</v>
      </c>
      <c r="G1879" s="1" t="s">
        <v>33</v>
      </c>
      <c r="H1879" s="10">
        <f t="shared" si="60"/>
        <v>15345</v>
      </c>
      <c r="I1879" s="7">
        <v>12637.25911815367</v>
      </c>
      <c r="J1879" s="7">
        <f t="shared" si="61"/>
        <v>2707.74088184633</v>
      </c>
      <c r="K1879" s="1">
        <f>IF(B1879="North",28.6,
IF(B1879="South",13,
IF(B1879="East",22.6,
IF(B1879="West",19,
23.5))))</f>
        <v>28.6</v>
      </c>
      <c r="L1879" s="1">
        <f>IF(B1879="North",77.2,
IF(B1879="South",80.2,
IF(B1879="East",88.4,
IF(B1879="West",72.8,
78.9))))</f>
        <v>77.2</v>
      </c>
    </row>
    <row r="1880" spans="1:12" x14ac:dyDescent="0.25">
      <c r="A1880" s="5">
        <v>45316</v>
      </c>
      <c r="B1880" s="1" t="s">
        <v>12</v>
      </c>
      <c r="C1880" s="1" t="s">
        <v>19</v>
      </c>
      <c r="D1880" s="1" t="s">
        <v>27</v>
      </c>
      <c r="E1880" s="10">
        <v>3</v>
      </c>
      <c r="F1880" s="10">
        <v>1227</v>
      </c>
      <c r="G1880" s="1" t="s">
        <v>35</v>
      </c>
      <c r="H1880" s="10">
        <f t="shared" si="60"/>
        <v>3681</v>
      </c>
      <c r="I1880" s="7">
        <v>2273.6174327099202</v>
      </c>
      <c r="J1880" s="7">
        <f t="shared" si="61"/>
        <v>1407.3825672900798</v>
      </c>
      <c r="K1880" s="1">
        <f>IF(B1880="North",28.6,
IF(B1880="South",13,
IF(B1880="East",22.6,
IF(B1880="West",19,
23.5))))</f>
        <v>22.6</v>
      </c>
      <c r="L1880" s="1">
        <f>IF(B1880="North",77.2,
IF(B1880="South",80.2,
IF(B1880="East",88.4,
IF(B1880="West",72.8,
78.9))))</f>
        <v>88.4</v>
      </c>
    </row>
    <row r="1881" spans="1:12" x14ac:dyDescent="0.25">
      <c r="A1881" s="5">
        <v>45592</v>
      </c>
      <c r="B1881" s="1" t="s">
        <v>13</v>
      </c>
      <c r="C1881" s="1" t="s">
        <v>17</v>
      </c>
      <c r="D1881" s="1" t="s">
        <v>31</v>
      </c>
      <c r="E1881" s="10">
        <v>2</v>
      </c>
      <c r="F1881" s="10">
        <v>303</v>
      </c>
      <c r="G1881" s="1" t="s">
        <v>33</v>
      </c>
      <c r="H1881" s="10">
        <f t="shared" si="60"/>
        <v>606</v>
      </c>
      <c r="I1881" s="7">
        <v>401.67157238842287</v>
      </c>
      <c r="J1881" s="7">
        <f t="shared" si="61"/>
        <v>204.32842761157713</v>
      </c>
      <c r="K1881" s="1">
        <f>IF(B1881="North",28.6,
IF(B1881="South",13,
IF(B1881="East",22.6,
IF(B1881="West",19,
23.5))))</f>
        <v>13</v>
      </c>
      <c r="L1881" s="1">
        <f>IF(B1881="North",77.2,
IF(B1881="South",80.2,
IF(B1881="East",88.4,
IF(B1881="West",72.8,
78.9))))</f>
        <v>80.2</v>
      </c>
    </row>
    <row r="1882" spans="1:12" x14ac:dyDescent="0.25">
      <c r="A1882" s="5">
        <v>45534</v>
      </c>
      <c r="B1882" s="1" t="s">
        <v>12</v>
      </c>
      <c r="C1882" s="1" t="s">
        <v>17</v>
      </c>
      <c r="D1882" s="1" t="s">
        <v>36</v>
      </c>
      <c r="E1882" s="10">
        <v>7</v>
      </c>
      <c r="F1882" s="10">
        <v>1176</v>
      </c>
      <c r="G1882" s="1" t="s">
        <v>33</v>
      </c>
      <c r="H1882" s="10">
        <f t="shared" si="60"/>
        <v>8232</v>
      </c>
      <c r="I1882" s="7">
        <v>6315.4526703627489</v>
      </c>
      <c r="J1882" s="7">
        <f t="shared" si="61"/>
        <v>1916.5473296372511</v>
      </c>
      <c r="K1882" s="1">
        <f>IF(B1882="North",28.6,
IF(B1882="South",13,
IF(B1882="East",22.6,
IF(B1882="West",19,
23.5))))</f>
        <v>22.6</v>
      </c>
      <c r="L1882" s="1">
        <f>IF(B1882="North",77.2,
IF(B1882="South",80.2,
IF(B1882="East",88.4,
IF(B1882="West",72.8,
78.9))))</f>
        <v>88.4</v>
      </c>
    </row>
    <row r="1883" spans="1:12" x14ac:dyDescent="0.25">
      <c r="A1883" s="5">
        <v>45413</v>
      </c>
      <c r="B1883" s="1" t="s">
        <v>10</v>
      </c>
      <c r="C1883" s="1" t="s">
        <v>24</v>
      </c>
      <c r="D1883" s="1" t="s">
        <v>27</v>
      </c>
      <c r="E1883" s="10">
        <v>5</v>
      </c>
      <c r="F1883" s="10">
        <v>1073</v>
      </c>
      <c r="G1883" s="1" t="s">
        <v>35</v>
      </c>
      <c r="H1883" s="10">
        <f t="shared" si="60"/>
        <v>5365</v>
      </c>
      <c r="I1883" s="7">
        <v>4320.5456661230364</v>
      </c>
      <c r="J1883" s="7">
        <f t="shared" si="61"/>
        <v>1044.4543338769636</v>
      </c>
      <c r="K1883" s="1">
        <f>IF(B1883="North",28.6,
IF(B1883="South",13,
IF(B1883="East",22.6,
IF(B1883="West",19,
23.5))))</f>
        <v>28.6</v>
      </c>
      <c r="L1883" s="1">
        <f>IF(B1883="North",77.2,
IF(B1883="South",80.2,
IF(B1883="East",88.4,
IF(B1883="West",72.8,
78.9))))</f>
        <v>77.2</v>
      </c>
    </row>
    <row r="1884" spans="1:12" x14ac:dyDescent="0.25">
      <c r="A1884" s="5">
        <v>45438</v>
      </c>
      <c r="B1884" s="1" t="s">
        <v>10</v>
      </c>
      <c r="C1884" s="1" t="s">
        <v>21</v>
      </c>
      <c r="D1884" s="1" t="s">
        <v>26</v>
      </c>
      <c r="E1884" s="10">
        <v>5</v>
      </c>
      <c r="F1884" s="10">
        <v>1039</v>
      </c>
      <c r="G1884" s="1" t="s">
        <v>35</v>
      </c>
      <c r="H1884" s="10">
        <f t="shared" si="60"/>
        <v>5195</v>
      </c>
      <c r="I1884" s="7">
        <v>3331.5591068507779</v>
      </c>
      <c r="J1884" s="7">
        <f t="shared" si="61"/>
        <v>1863.4408931492221</v>
      </c>
      <c r="K1884" s="1">
        <f>IF(B1884="North",28.6,
IF(B1884="South",13,
IF(B1884="East",22.6,
IF(B1884="West",19,
23.5))))</f>
        <v>28.6</v>
      </c>
      <c r="L1884" s="1">
        <f>IF(B1884="North",77.2,
IF(B1884="South",80.2,
IF(B1884="East",88.4,
IF(B1884="West",72.8,
78.9))))</f>
        <v>77.2</v>
      </c>
    </row>
    <row r="1885" spans="1:12" x14ac:dyDescent="0.25">
      <c r="A1885" s="5">
        <v>45346</v>
      </c>
      <c r="B1885" s="1" t="s">
        <v>13</v>
      </c>
      <c r="C1885" s="1" t="s">
        <v>18</v>
      </c>
      <c r="D1885" s="1" t="s">
        <v>25</v>
      </c>
      <c r="E1885" s="10">
        <v>13</v>
      </c>
      <c r="F1885" s="10">
        <v>1498</v>
      </c>
      <c r="G1885" s="1" t="s">
        <v>34</v>
      </c>
      <c r="H1885" s="10">
        <f t="shared" si="60"/>
        <v>19474</v>
      </c>
      <c r="I1885" s="7">
        <v>13114.715554420591</v>
      </c>
      <c r="J1885" s="7">
        <f t="shared" si="61"/>
        <v>6359.2844455794093</v>
      </c>
      <c r="K1885" s="1">
        <f>IF(B1885="North",28.6,
IF(B1885="South",13,
IF(B1885="East",22.6,
IF(B1885="West",19,
23.5))))</f>
        <v>13</v>
      </c>
      <c r="L1885" s="1">
        <f>IF(B1885="North",77.2,
IF(B1885="South",80.2,
IF(B1885="East",88.4,
IF(B1885="West",72.8,
78.9))))</f>
        <v>80.2</v>
      </c>
    </row>
    <row r="1886" spans="1:12" x14ac:dyDescent="0.25">
      <c r="A1886" s="5">
        <v>45529</v>
      </c>
      <c r="B1886" s="1" t="s">
        <v>13</v>
      </c>
      <c r="C1886" s="1" t="s">
        <v>18</v>
      </c>
      <c r="D1886" s="1" t="s">
        <v>32</v>
      </c>
      <c r="E1886" s="10">
        <v>6</v>
      </c>
      <c r="F1886" s="10">
        <v>1965</v>
      </c>
      <c r="G1886" s="1" t="s">
        <v>34</v>
      </c>
      <c r="H1886" s="10">
        <f t="shared" si="60"/>
        <v>11790</v>
      </c>
      <c r="I1886" s="7">
        <v>7757.0308188147828</v>
      </c>
      <c r="J1886" s="7">
        <f t="shared" si="61"/>
        <v>4032.9691811852172</v>
      </c>
      <c r="K1886" s="1">
        <f>IF(B1886="North",28.6,
IF(B1886="South",13,
IF(B1886="East",22.6,
IF(B1886="West",19,
23.5))))</f>
        <v>13</v>
      </c>
      <c r="L1886" s="1">
        <f>IF(B1886="North",77.2,
IF(B1886="South",80.2,
IF(B1886="East",88.4,
IF(B1886="West",72.8,
78.9))))</f>
        <v>80.2</v>
      </c>
    </row>
    <row r="1887" spans="1:12" x14ac:dyDescent="0.25">
      <c r="A1887" s="5">
        <v>45647</v>
      </c>
      <c r="B1887" s="1" t="s">
        <v>12</v>
      </c>
      <c r="C1887" s="1" t="s">
        <v>18</v>
      </c>
      <c r="D1887" s="1" t="s">
        <v>27</v>
      </c>
      <c r="E1887" s="10">
        <v>18</v>
      </c>
      <c r="F1887" s="10">
        <v>1177</v>
      </c>
      <c r="G1887" s="1" t="s">
        <v>34</v>
      </c>
      <c r="H1887" s="10">
        <f t="shared" si="60"/>
        <v>21186</v>
      </c>
      <c r="I1887" s="7">
        <v>14109.85790294343</v>
      </c>
      <c r="J1887" s="7">
        <f t="shared" si="61"/>
        <v>7076.1420970565705</v>
      </c>
      <c r="K1887" s="1">
        <f>IF(B1887="North",28.6,
IF(B1887="South",13,
IF(B1887="East",22.6,
IF(B1887="West",19,
23.5))))</f>
        <v>22.6</v>
      </c>
      <c r="L1887" s="1">
        <f>IF(B1887="North",77.2,
IF(B1887="South",80.2,
IF(B1887="East",88.4,
IF(B1887="West",72.8,
78.9))))</f>
        <v>88.4</v>
      </c>
    </row>
    <row r="1888" spans="1:12" x14ac:dyDescent="0.25">
      <c r="A1888" s="5">
        <v>45464</v>
      </c>
      <c r="B1888" s="1" t="s">
        <v>12</v>
      </c>
      <c r="C1888" s="1" t="s">
        <v>24</v>
      </c>
      <c r="D1888" s="1" t="s">
        <v>31</v>
      </c>
      <c r="E1888" s="10">
        <v>2</v>
      </c>
      <c r="F1888" s="10">
        <v>1399</v>
      </c>
      <c r="G1888" s="1" t="s">
        <v>35</v>
      </c>
      <c r="H1888" s="10">
        <f t="shared" si="60"/>
        <v>2798</v>
      </c>
      <c r="I1888" s="7">
        <v>2451.646595923623</v>
      </c>
      <c r="J1888" s="7">
        <f t="shared" si="61"/>
        <v>346.35340407637705</v>
      </c>
      <c r="K1888" s="1">
        <f>IF(B1888="North",28.6,
IF(B1888="South",13,
IF(B1888="East",22.6,
IF(B1888="West",19,
23.5))))</f>
        <v>22.6</v>
      </c>
      <c r="L1888" s="1">
        <f>IF(B1888="North",77.2,
IF(B1888="South",80.2,
IF(B1888="East",88.4,
IF(B1888="West",72.8,
78.9))))</f>
        <v>88.4</v>
      </c>
    </row>
    <row r="1889" spans="1:12" x14ac:dyDescent="0.25">
      <c r="A1889" s="5">
        <v>45512</v>
      </c>
      <c r="B1889" s="1" t="s">
        <v>10</v>
      </c>
      <c r="C1889" s="1" t="s">
        <v>22</v>
      </c>
      <c r="D1889" s="1" t="s">
        <v>29</v>
      </c>
      <c r="E1889" s="10">
        <v>6</v>
      </c>
      <c r="F1889" s="10">
        <v>1458</v>
      </c>
      <c r="G1889" s="1" t="s">
        <v>35</v>
      </c>
      <c r="H1889" s="10">
        <f t="shared" si="60"/>
        <v>8748</v>
      </c>
      <c r="I1889" s="7">
        <v>7127.396887482907</v>
      </c>
      <c r="J1889" s="7">
        <f t="shared" si="61"/>
        <v>1620.603112517093</v>
      </c>
      <c r="K1889" s="1">
        <f>IF(B1889="North",28.6,
IF(B1889="South",13,
IF(B1889="East",22.6,
IF(B1889="West",19,
23.5))))</f>
        <v>28.6</v>
      </c>
      <c r="L1889" s="1">
        <f>IF(B1889="North",77.2,
IF(B1889="South",80.2,
IF(B1889="East",88.4,
IF(B1889="West",72.8,
78.9))))</f>
        <v>77.2</v>
      </c>
    </row>
    <row r="1890" spans="1:12" x14ac:dyDescent="0.25">
      <c r="A1890" s="5">
        <v>45410</v>
      </c>
      <c r="B1890" s="1" t="s">
        <v>13</v>
      </c>
      <c r="C1890" s="1" t="s">
        <v>18</v>
      </c>
      <c r="D1890" s="1" t="s">
        <v>32</v>
      </c>
      <c r="E1890" s="10">
        <v>9</v>
      </c>
      <c r="F1890" s="10">
        <v>1154</v>
      </c>
      <c r="G1890" s="1" t="s">
        <v>34</v>
      </c>
      <c r="H1890" s="10">
        <f t="shared" si="60"/>
        <v>10386</v>
      </c>
      <c r="I1890" s="7">
        <v>8528.2779295406126</v>
      </c>
      <c r="J1890" s="7">
        <f t="shared" si="61"/>
        <v>1857.7220704593874</v>
      </c>
      <c r="K1890" s="1">
        <f>IF(B1890="North",28.6,
IF(B1890="South",13,
IF(B1890="East",22.6,
IF(B1890="West",19,
23.5))))</f>
        <v>13</v>
      </c>
      <c r="L1890" s="1">
        <f>IF(B1890="North",77.2,
IF(B1890="South",80.2,
IF(B1890="East",88.4,
IF(B1890="West",72.8,
78.9))))</f>
        <v>80.2</v>
      </c>
    </row>
    <row r="1891" spans="1:12" x14ac:dyDescent="0.25">
      <c r="A1891" s="5">
        <v>45600</v>
      </c>
      <c r="B1891" s="1" t="s">
        <v>13</v>
      </c>
      <c r="C1891" s="1" t="s">
        <v>17</v>
      </c>
      <c r="D1891" s="1" t="s">
        <v>27</v>
      </c>
      <c r="E1891" s="10">
        <v>3</v>
      </c>
      <c r="F1891" s="10">
        <v>1258</v>
      </c>
      <c r="G1891" s="1" t="s">
        <v>33</v>
      </c>
      <c r="H1891" s="10">
        <f t="shared" si="60"/>
        <v>3774</v>
      </c>
      <c r="I1891" s="7">
        <v>3163.361490966201</v>
      </c>
      <c r="J1891" s="7">
        <f t="shared" si="61"/>
        <v>610.63850903379898</v>
      </c>
      <c r="K1891" s="1">
        <f>IF(B1891="North",28.6,
IF(B1891="South",13,
IF(B1891="East",22.6,
IF(B1891="West",19,
23.5))))</f>
        <v>13</v>
      </c>
      <c r="L1891" s="1">
        <f>IF(B1891="North",77.2,
IF(B1891="South",80.2,
IF(B1891="East",88.4,
IF(B1891="West",72.8,
78.9))))</f>
        <v>80.2</v>
      </c>
    </row>
    <row r="1892" spans="1:12" x14ac:dyDescent="0.25">
      <c r="A1892" s="5">
        <v>45474</v>
      </c>
      <c r="B1892" s="1" t="s">
        <v>13</v>
      </c>
      <c r="C1892" s="1" t="s">
        <v>24</v>
      </c>
      <c r="D1892" s="1" t="s">
        <v>30</v>
      </c>
      <c r="E1892" s="10">
        <v>1</v>
      </c>
      <c r="F1892" s="10">
        <v>1181</v>
      </c>
      <c r="G1892" s="1" t="s">
        <v>35</v>
      </c>
      <c r="H1892" s="10">
        <f t="shared" si="60"/>
        <v>1181</v>
      </c>
      <c r="I1892" s="7">
        <v>834.93382900879044</v>
      </c>
      <c r="J1892" s="7">
        <f t="shared" si="61"/>
        <v>346.06617099120956</v>
      </c>
      <c r="K1892" s="1">
        <f>IF(B1892="North",28.6,
IF(B1892="South",13,
IF(B1892="East",22.6,
IF(B1892="West",19,
23.5))))</f>
        <v>13</v>
      </c>
      <c r="L1892" s="1">
        <f>IF(B1892="North",77.2,
IF(B1892="South",80.2,
IF(B1892="East",88.4,
IF(B1892="West",72.8,
78.9))))</f>
        <v>80.2</v>
      </c>
    </row>
    <row r="1893" spans="1:12" x14ac:dyDescent="0.25">
      <c r="A1893" s="5">
        <v>45579</v>
      </c>
      <c r="B1893" s="1" t="s">
        <v>12</v>
      </c>
      <c r="C1893" s="1" t="s">
        <v>19</v>
      </c>
      <c r="D1893" s="1" t="s">
        <v>29</v>
      </c>
      <c r="E1893" s="10">
        <v>1</v>
      </c>
      <c r="F1893" s="10">
        <v>204</v>
      </c>
      <c r="G1893" s="1" t="s">
        <v>35</v>
      </c>
      <c r="H1893" s="10">
        <f t="shared" si="60"/>
        <v>204</v>
      </c>
      <c r="I1893" s="7">
        <v>169.3516984012274</v>
      </c>
      <c r="J1893" s="7">
        <f t="shared" si="61"/>
        <v>34.648301598772605</v>
      </c>
      <c r="K1893" s="1">
        <f>IF(B1893="North",28.6,
IF(B1893="South",13,
IF(B1893="East",22.6,
IF(B1893="West",19,
23.5))))</f>
        <v>22.6</v>
      </c>
      <c r="L1893" s="1">
        <f>IF(B1893="North",77.2,
IF(B1893="South",80.2,
IF(B1893="East",88.4,
IF(B1893="West",72.8,
78.9))))</f>
        <v>88.4</v>
      </c>
    </row>
    <row r="1894" spans="1:12" x14ac:dyDescent="0.25">
      <c r="A1894" s="5">
        <v>45598</v>
      </c>
      <c r="B1894" s="1" t="s">
        <v>13</v>
      </c>
      <c r="C1894" s="1" t="s">
        <v>21</v>
      </c>
      <c r="D1894" s="1" t="s">
        <v>30</v>
      </c>
      <c r="E1894" s="10">
        <v>19</v>
      </c>
      <c r="F1894" s="10">
        <v>1389</v>
      </c>
      <c r="G1894" s="1" t="s">
        <v>35</v>
      </c>
      <c r="H1894" s="10">
        <f t="shared" si="60"/>
        <v>26391</v>
      </c>
      <c r="I1894" s="7">
        <v>23580.99236687299</v>
      </c>
      <c r="J1894" s="7">
        <f t="shared" si="61"/>
        <v>2810.0076331270102</v>
      </c>
      <c r="K1894" s="1">
        <f>IF(B1894="North",28.6,
IF(B1894="South",13,
IF(B1894="East",22.6,
IF(B1894="West",19,
23.5))))</f>
        <v>13</v>
      </c>
      <c r="L1894" s="1">
        <f>IF(B1894="North",77.2,
IF(B1894="South",80.2,
IF(B1894="East",88.4,
IF(B1894="West",72.8,
78.9))))</f>
        <v>80.2</v>
      </c>
    </row>
    <row r="1895" spans="1:12" x14ac:dyDescent="0.25">
      <c r="A1895" s="5">
        <v>45591</v>
      </c>
      <c r="B1895" s="1" t="s">
        <v>10</v>
      </c>
      <c r="C1895" s="1" t="s">
        <v>21</v>
      </c>
      <c r="D1895" s="1" t="s">
        <v>26</v>
      </c>
      <c r="E1895" s="10">
        <v>5</v>
      </c>
      <c r="F1895" s="10">
        <v>1645</v>
      </c>
      <c r="G1895" s="1" t="s">
        <v>35</v>
      </c>
      <c r="H1895" s="10">
        <f t="shared" si="60"/>
        <v>8225</v>
      </c>
      <c r="I1895" s="7">
        <v>6658.2878018592746</v>
      </c>
      <c r="J1895" s="7">
        <f t="shared" si="61"/>
        <v>1566.7121981407254</v>
      </c>
      <c r="K1895" s="1">
        <f>IF(B1895="North",28.6,
IF(B1895="South",13,
IF(B1895="East",22.6,
IF(B1895="West",19,
23.5))))</f>
        <v>28.6</v>
      </c>
      <c r="L1895" s="1">
        <f>IF(B1895="North",77.2,
IF(B1895="South",80.2,
IF(B1895="East",88.4,
IF(B1895="West",72.8,
78.9))))</f>
        <v>77.2</v>
      </c>
    </row>
    <row r="1896" spans="1:12" x14ac:dyDescent="0.25">
      <c r="A1896" s="5">
        <v>45373</v>
      </c>
      <c r="B1896" s="1" t="s">
        <v>10</v>
      </c>
      <c r="C1896" s="1" t="s">
        <v>20</v>
      </c>
      <c r="D1896" s="1" t="s">
        <v>29</v>
      </c>
      <c r="E1896" s="10">
        <v>13</v>
      </c>
      <c r="F1896" s="10">
        <v>1619</v>
      </c>
      <c r="G1896" s="1" t="s">
        <v>33</v>
      </c>
      <c r="H1896" s="10">
        <f t="shared" si="60"/>
        <v>21047</v>
      </c>
      <c r="I1896" s="7">
        <v>15259.62082632632</v>
      </c>
      <c r="J1896" s="7">
        <f t="shared" si="61"/>
        <v>5787.3791736736803</v>
      </c>
      <c r="K1896" s="1">
        <f>IF(B1896="North",28.6,
IF(B1896="South",13,
IF(B1896="East",22.6,
IF(B1896="West",19,
23.5))))</f>
        <v>28.6</v>
      </c>
      <c r="L1896" s="1">
        <f>IF(B1896="North",77.2,
IF(B1896="South",80.2,
IF(B1896="East",88.4,
IF(B1896="West",72.8,
78.9))))</f>
        <v>77.2</v>
      </c>
    </row>
    <row r="1897" spans="1:12" x14ac:dyDescent="0.25">
      <c r="A1897" s="5">
        <v>45502</v>
      </c>
      <c r="B1897" s="1" t="s">
        <v>12</v>
      </c>
      <c r="C1897" s="1" t="s">
        <v>19</v>
      </c>
      <c r="D1897" s="1" t="s">
        <v>28</v>
      </c>
      <c r="E1897" s="10">
        <v>19</v>
      </c>
      <c r="F1897" s="10">
        <v>352</v>
      </c>
      <c r="G1897" s="1" t="s">
        <v>35</v>
      </c>
      <c r="H1897" s="10">
        <f t="shared" si="60"/>
        <v>6688</v>
      </c>
      <c r="I1897" s="7">
        <v>5450.1042740505</v>
      </c>
      <c r="J1897" s="7">
        <f t="shared" si="61"/>
        <v>1237.8957259495</v>
      </c>
      <c r="K1897" s="1">
        <f>IF(B1897="North",28.6,
IF(B1897="South",13,
IF(B1897="East",22.6,
IF(B1897="West",19,
23.5))))</f>
        <v>22.6</v>
      </c>
      <c r="L1897" s="1">
        <f>IF(B1897="North",77.2,
IF(B1897="South",80.2,
IF(B1897="East",88.4,
IF(B1897="West",72.8,
78.9))))</f>
        <v>88.4</v>
      </c>
    </row>
    <row r="1898" spans="1:12" x14ac:dyDescent="0.25">
      <c r="A1898" s="5">
        <v>45441</v>
      </c>
      <c r="B1898" s="1" t="s">
        <v>11</v>
      </c>
      <c r="C1898" s="1" t="s">
        <v>20</v>
      </c>
      <c r="D1898" s="1" t="s">
        <v>25</v>
      </c>
      <c r="E1898" s="10">
        <v>12</v>
      </c>
      <c r="F1898" s="10">
        <v>394</v>
      </c>
      <c r="G1898" s="1" t="s">
        <v>33</v>
      </c>
      <c r="H1898" s="10">
        <f t="shared" si="60"/>
        <v>4728</v>
      </c>
      <c r="I1898" s="7">
        <v>4114.4872028528544</v>
      </c>
      <c r="J1898" s="7">
        <f t="shared" si="61"/>
        <v>613.51279714714565</v>
      </c>
      <c r="K1898" s="1">
        <f>IF(B1898="North",28.6,
IF(B1898="South",13,
IF(B1898="East",22.6,
IF(B1898="West",19,
23.5))))</f>
        <v>19</v>
      </c>
      <c r="L1898" s="1">
        <f>IF(B1898="North",77.2,
IF(B1898="South",80.2,
IF(B1898="East",88.4,
IF(B1898="West",72.8,
78.9))))</f>
        <v>72.8</v>
      </c>
    </row>
    <row r="1899" spans="1:12" x14ac:dyDescent="0.25">
      <c r="A1899" s="5">
        <v>45328</v>
      </c>
      <c r="B1899" s="1" t="s">
        <v>12</v>
      </c>
      <c r="C1899" s="1" t="s">
        <v>24</v>
      </c>
      <c r="D1899" s="1" t="s">
        <v>29</v>
      </c>
      <c r="E1899" s="10">
        <v>16</v>
      </c>
      <c r="F1899" s="10">
        <v>767</v>
      </c>
      <c r="G1899" s="1" t="s">
        <v>35</v>
      </c>
      <c r="H1899" s="10">
        <f t="shared" si="60"/>
        <v>12272</v>
      </c>
      <c r="I1899" s="7">
        <v>7837.2484991974643</v>
      </c>
      <c r="J1899" s="7">
        <f t="shared" si="61"/>
        <v>4434.7515008025357</v>
      </c>
      <c r="K1899" s="1">
        <f>IF(B1899="North",28.6,
IF(B1899="South",13,
IF(B1899="East",22.6,
IF(B1899="West",19,
23.5))))</f>
        <v>22.6</v>
      </c>
      <c r="L1899" s="1">
        <f>IF(B1899="North",77.2,
IF(B1899="South",80.2,
IF(B1899="East",88.4,
IF(B1899="West",72.8,
78.9))))</f>
        <v>88.4</v>
      </c>
    </row>
    <row r="1900" spans="1:12" x14ac:dyDescent="0.25">
      <c r="A1900" s="5">
        <v>45643</v>
      </c>
      <c r="B1900" s="1" t="s">
        <v>11</v>
      </c>
      <c r="C1900" s="1" t="s">
        <v>23</v>
      </c>
      <c r="D1900" s="1" t="s">
        <v>32</v>
      </c>
      <c r="E1900" s="10">
        <v>19</v>
      </c>
      <c r="F1900" s="10">
        <v>1281</v>
      </c>
      <c r="G1900" s="1" t="s">
        <v>34</v>
      </c>
      <c r="H1900" s="10">
        <f t="shared" si="60"/>
        <v>24339</v>
      </c>
      <c r="I1900" s="7">
        <v>16540.50213271696</v>
      </c>
      <c r="J1900" s="7">
        <f t="shared" si="61"/>
        <v>7798.4978672830403</v>
      </c>
      <c r="K1900" s="1">
        <f>IF(B1900="North",28.6,
IF(B1900="South",13,
IF(B1900="East",22.6,
IF(B1900="West",19,
23.5))))</f>
        <v>19</v>
      </c>
      <c r="L1900" s="1">
        <f>IF(B1900="North",77.2,
IF(B1900="South",80.2,
IF(B1900="East",88.4,
IF(B1900="West",72.8,
78.9))))</f>
        <v>72.8</v>
      </c>
    </row>
    <row r="1901" spans="1:12" x14ac:dyDescent="0.25">
      <c r="A1901" s="5">
        <v>45603</v>
      </c>
      <c r="B1901" s="1" t="s">
        <v>13</v>
      </c>
      <c r="C1901" s="1" t="s">
        <v>18</v>
      </c>
      <c r="D1901" s="1" t="s">
        <v>29</v>
      </c>
      <c r="E1901" s="10">
        <v>3</v>
      </c>
      <c r="F1901" s="10">
        <v>648</v>
      </c>
      <c r="G1901" s="1" t="s">
        <v>34</v>
      </c>
      <c r="H1901" s="10">
        <f t="shared" si="60"/>
        <v>1944</v>
      </c>
      <c r="I1901" s="7">
        <v>1702.533552779817</v>
      </c>
      <c r="J1901" s="7">
        <f t="shared" si="61"/>
        <v>241.466447220183</v>
      </c>
      <c r="K1901" s="1">
        <f>IF(B1901="North",28.6,
IF(B1901="South",13,
IF(B1901="East",22.6,
IF(B1901="West",19,
23.5))))</f>
        <v>13</v>
      </c>
      <c r="L1901" s="1">
        <f>IF(B1901="North",77.2,
IF(B1901="South",80.2,
IF(B1901="East",88.4,
IF(B1901="West",72.8,
78.9))))</f>
        <v>80.2</v>
      </c>
    </row>
    <row r="1902" spans="1:12" x14ac:dyDescent="0.25">
      <c r="A1902" s="5">
        <v>45652</v>
      </c>
      <c r="B1902" s="1" t="s">
        <v>12</v>
      </c>
      <c r="C1902" s="1" t="s">
        <v>22</v>
      </c>
      <c r="D1902" s="1" t="s">
        <v>31</v>
      </c>
      <c r="E1902" s="10">
        <v>12</v>
      </c>
      <c r="F1902" s="10">
        <v>730</v>
      </c>
      <c r="G1902" s="1" t="s">
        <v>35</v>
      </c>
      <c r="H1902" s="10">
        <f t="shared" si="60"/>
        <v>8760</v>
      </c>
      <c r="I1902" s="7">
        <v>7742.7000623682179</v>
      </c>
      <c r="J1902" s="7">
        <f t="shared" si="61"/>
        <v>1017.2999376317821</v>
      </c>
      <c r="K1902" s="1">
        <f>IF(B1902="North",28.6,
IF(B1902="South",13,
IF(B1902="East",22.6,
IF(B1902="West",19,
23.5))))</f>
        <v>22.6</v>
      </c>
      <c r="L1902" s="1">
        <f>IF(B1902="North",77.2,
IF(B1902="South",80.2,
IF(B1902="East",88.4,
IF(B1902="West",72.8,
78.9))))</f>
        <v>88.4</v>
      </c>
    </row>
    <row r="1903" spans="1:12" x14ac:dyDescent="0.25">
      <c r="A1903" s="5">
        <v>45350</v>
      </c>
      <c r="B1903" s="1" t="s">
        <v>10</v>
      </c>
      <c r="C1903" s="1" t="s">
        <v>19</v>
      </c>
      <c r="D1903" s="1" t="s">
        <v>25</v>
      </c>
      <c r="E1903" s="10">
        <v>5</v>
      </c>
      <c r="F1903" s="10">
        <v>1190</v>
      </c>
      <c r="G1903" s="1" t="s">
        <v>35</v>
      </c>
      <c r="H1903" s="10">
        <f t="shared" si="60"/>
        <v>5950</v>
      </c>
      <c r="I1903" s="7">
        <v>4434.1883419055321</v>
      </c>
      <c r="J1903" s="7">
        <f t="shared" si="61"/>
        <v>1515.8116580944679</v>
      </c>
      <c r="K1903" s="1">
        <f>IF(B1903="North",28.6,
IF(B1903="South",13,
IF(B1903="East",22.6,
IF(B1903="West",19,
23.5))))</f>
        <v>28.6</v>
      </c>
      <c r="L1903" s="1">
        <f>IF(B1903="North",77.2,
IF(B1903="South",80.2,
IF(B1903="East",88.4,
IF(B1903="West",72.8,
78.9))))</f>
        <v>77.2</v>
      </c>
    </row>
    <row r="1904" spans="1:12" x14ac:dyDescent="0.25">
      <c r="A1904" s="5">
        <v>45422</v>
      </c>
      <c r="B1904" s="1" t="s">
        <v>13</v>
      </c>
      <c r="C1904" s="1" t="s">
        <v>19</v>
      </c>
      <c r="D1904" s="1" t="s">
        <v>31</v>
      </c>
      <c r="E1904" s="10">
        <v>2</v>
      </c>
      <c r="F1904" s="10">
        <v>1877</v>
      </c>
      <c r="G1904" s="1" t="s">
        <v>35</v>
      </c>
      <c r="H1904" s="10">
        <f t="shared" si="60"/>
        <v>3754</v>
      </c>
      <c r="I1904" s="7">
        <v>2674.219294984794</v>
      </c>
      <c r="J1904" s="7">
        <f t="shared" si="61"/>
        <v>1079.780705015206</v>
      </c>
      <c r="K1904" s="1">
        <f>IF(B1904="North",28.6,
IF(B1904="South",13,
IF(B1904="East",22.6,
IF(B1904="West",19,
23.5))))</f>
        <v>13</v>
      </c>
      <c r="L1904" s="1">
        <f>IF(B1904="North",77.2,
IF(B1904="South",80.2,
IF(B1904="East",88.4,
IF(B1904="West",72.8,
78.9))))</f>
        <v>80.2</v>
      </c>
    </row>
    <row r="1905" spans="1:12" x14ac:dyDescent="0.25">
      <c r="A1905" s="5">
        <v>45493</v>
      </c>
      <c r="B1905" s="1" t="s">
        <v>10</v>
      </c>
      <c r="C1905" s="1" t="s">
        <v>19</v>
      </c>
      <c r="D1905" s="1" t="s">
        <v>28</v>
      </c>
      <c r="E1905" s="10">
        <v>7</v>
      </c>
      <c r="F1905" s="10">
        <v>398</v>
      </c>
      <c r="G1905" s="1" t="s">
        <v>35</v>
      </c>
      <c r="H1905" s="10">
        <f t="shared" si="60"/>
        <v>2786</v>
      </c>
      <c r="I1905" s="7">
        <v>1907.949033123012</v>
      </c>
      <c r="J1905" s="7">
        <f t="shared" si="61"/>
        <v>878.05096687698801</v>
      </c>
      <c r="K1905" s="1">
        <f>IF(B1905="North",28.6,
IF(B1905="South",13,
IF(B1905="East",22.6,
IF(B1905="West",19,
23.5))))</f>
        <v>28.6</v>
      </c>
      <c r="L1905" s="1">
        <f>IF(B1905="North",77.2,
IF(B1905="South",80.2,
IF(B1905="East",88.4,
IF(B1905="West",72.8,
78.9))))</f>
        <v>77.2</v>
      </c>
    </row>
    <row r="1906" spans="1:12" x14ac:dyDescent="0.25">
      <c r="A1906" s="5">
        <v>45534</v>
      </c>
      <c r="B1906" s="1" t="s">
        <v>13</v>
      </c>
      <c r="C1906" s="1" t="s">
        <v>20</v>
      </c>
      <c r="D1906" s="1" t="s">
        <v>29</v>
      </c>
      <c r="E1906" s="10">
        <v>13</v>
      </c>
      <c r="F1906" s="10">
        <v>1586</v>
      </c>
      <c r="G1906" s="1" t="s">
        <v>33</v>
      </c>
      <c r="H1906" s="10">
        <f t="shared" si="60"/>
        <v>20618</v>
      </c>
      <c r="I1906" s="7">
        <v>15455.77778226408</v>
      </c>
      <c r="J1906" s="7">
        <f t="shared" si="61"/>
        <v>5162.2222177359199</v>
      </c>
      <c r="K1906" s="1">
        <f>IF(B1906="North",28.6,
IF(B1906="South",13,
IF(B1906="East",22.6,
IF(B1906="West",19,
23.5))))</f>
        <v>13</v>
      </c>
      <c r="L1906" s="1">
        <f>IF(B1906="North",77.2,
IF(B1906="South",80.2,
IF(B1906="East",88.4,
IF(B1906="West",72.8,
78.9))))</f>
        <v>80.2</v>
      </c>
    </row>
    <row r="1907" spans="1:12" x14ac:dyDescent="0.25">
      <c r="A1907" s="5">
        <v>45326</v>
      </c>
      <c r="B1907" s="1" t="s">
        <v>12</v>
      </c>
      <c r="C1907" s="1" t="s">
        <v>24</v>
      </c>
      <c r="D1907" s="1" t="s">
        <v>30</v>
      </c>
      <c r="E1907" s="10">
        <v>15</v>
      </c>
      <c r="F1907" s="10">
        <v>1848</v>
      </c>
      <c r="G1907" s="1" t="s">
        <v>35</v>
      </c>
      <c r="H1907" s="10">
        <f t="shared" si="60"/>
        <v>27720</v>
      </c>
      <c r="I1907" s="7">
        <v>24403.561056631192</v>
      </c>
      <c r="J1907" s="7">
        <f t="shared" si="61"/>
        <v>3316.4389433688084</v>
      </c>
      <c r="K1907" s="1">
        <f>IF(B1907="North",28.6,
IF(B1907="South",13,
IF(B1907="East",22.6,
IF(B1907="West",19,
23.5))))</f>
        <v>22.6</v>
      </c>
      <c r="L1907" s="1">
        <f>IF(B1907="North",77.2,
IF(B1907="South",80.2,
IF(B1907="East",88.4,
IF(B1907="West",72.8,
78.9))))</f>
        <v>88.4</v>
      </c>
    </row>
    <row r="1908" spans="1:12" x14ac:dyDescent="0.25">
      <c r="A1908" s="5">
        <v>45384</v>
      </c>
      <c r="B1908" s="1" t="s">
        <v>11</v>
      </c>
      <c r="C1908" s="1" t="s">
        <v>19</v>
      </c>
      <c r="D1908" s="1" t="s">
        <v>30</v>
      </c>
      <c r="E1908" s="10">
        <v>3</v>
      </c>
      <c r="F1908" s="10">
        <v>1943</v>
      </c>
      <c r="G1908" s="1" t="s">
        <v>35</v>
      </c>
      <c r="H1908" s="10">
        <f t="shared" si="60"/>
        <v>5829</v>
      </c>
      <c r="I1908" s="7">
        <v>3759.3720954771452</v>
      </c>
      <c r="J1908" s="7">
        <f t="shared" si="61"/>
        <v>2069.6279045228548</v>
      </c>
      <c r="K1908" s="1">
        <f>IF(B1908="North",28.6,
IF(B1908="South",13,
IF(B1908="East",22.6,
IF(B1908="West",19,
23.5))))</f>
        <v>19</v>
      </c>
      <c r="L1908" s="1">
        <f>IF(B1908="North",77.2,
IF(B1908="South",80.2,
IF(B1908="East",88.4,
IF(B1908="West",72.8,
78.9))))</f>
        <v>72.8</v>
      </c>
    </row>
    <row r="1909" spans="1:12" x14ac:dyDescent="0.25">
      <c r="A1909" s="5">
        <v>45498</v>
      </c>
      <c r="B1909" s="1" t="s">
        <v>13</v>
      </c>
      <c r="C1909" s="1" t="s">
        <v>23</v>
      </c>
      <c r="D1909" s="1" t="s">
        <v>27</v>
      </c>
      <c r="E1909" s="10">
        <v>5</v>
      </c>
      <c r="F1909" s="10">
        <v>200</v>
      </c>
      <c r="G1909" s="1" t="s">
        <v>34</v>
      </c>
      <c r="H1909" s="10">
        <f t="shared" si="60"/>
        <v>1000</v>
      </c>
      <c r="I1909" s="7">
        <v>725.94919156416609</v>
      </c>
      <c r="J1909" s="7">
        <f t="shared" si="61"/>
        <v>274.05080843583391</v>
      </c>
      <c r="K1909" s="1">
        <f>IF(B1909="North",28.6,
IF(B1909="South",13,
IF(B1909="East",22.6,
IF(B1909="West",19,
23.5))))</f>
        <v>13</v>
      </c>
      <c r="L1909" s="1">
        <f>IF(B1909="North",77.2,
IF(B1909="South",80.2,
IF(B1909="East",88.4,
IF(B1909="West",72.8,
78.9))))</f>
        <v>80.2</v>
      </c>
    </row>
    <row r="1910" spans="1:12" x14ac:dyDescent="0.25">
      <c r="A1910" s="5">
        <v>45644</v>
      </c>
      <c r="B1910" s="1" t="s">
        <v>11</v>
      </c>
      <c r="C1910" s="1" t="s">
        <v>19</v>
      </c>
      <c r="D1910" s="1" t="s">
        <v>26</v>
      </c>
      <c r="E1910" s="10">
        <v>8</v>
      </c>
      <c r="F1910" s="10">
        <v>1179</v>
      </c>
      <c r="G1910" s="1" t="s">
        <v>35</v>
      </c>
      <c r="H1910" s="10">
        <f t="shared" si="60"/>
        <v>9432</v>
      </c>
      <c r="I1910" s="7">
        <v>8238.6855920469116</v>
      </c>
      <c r="J1910" s="7">
        <f t="shared" si="61"/>
        <v>1193.3144079530884</v>
      </c>
      <c r="K1910" s="1">
        <f>IF(B1910="North",28.6,
IF(B1910="South",13,
IF(B1910="East",22.6,
IF(B1910="West",19,
23.5))))</f>
        <v>19</v>
      </c>
      <c r="L1910" s="1">
        <f>IF(B1910="North",77.2,
IF(B1910="South",80.2,
IF(B1910="East",88.4,
IF(B1910="West",72.8,
78.9))))</f>
        <v>72.8</v>
      </c>
    </row>
    <row r="1911" spans="1:12" x14ac:dyDescent="0.25">
      <c r="A1911" s="5">
        <v>45623</v>
      </c>
      <c r="B1911" s="1" t="s">
        <v>13</v>
      </c>
      <c r="C1911" s="1" t="s">
        <v>21</v>
      </c>
      <c r="D1911" s="1" t="s">
        <v>32</v>
      </c>
      <c r="E1911" s="10">
        <v>1</v>
      </c>
      <c r="F1911" s="10">
        <v>431</v>
      </c>
      <c r="G1911" s="1" t="s">
        <v>35</v>
      </c>
      <c r="H1911" s="10">
        <f t="shared" si="60"/>
        <v>431</v>
      </c>
      <c r="I1911" s="7">
        <v>303.74112162965179</v>
      </c>
      <c r="J1911" s="7">
        <f t="shared" si="61"/>
        <v>127.25887837034821</v>
      </c>
      <c r="K1911" s="1">
        <f>IF(B1911="North",28.6,
IF(B1911="South",13,
IF(B1911="East",22.6,
IF(B1911="West",19,
23.5))))</f>
        <v>13</v>
      </c>
      <c r="L1911" s="1">
        <f>IF(B1911="North",77.2,
IF(B1911="South",80.2,
IF(B1911="East",88.4,
IF(B1911="West",72.8,
78.9))))</f>
        <v>80.2</v>
      </c>
    </row>
    <row r="1912" spans="1:12" x14ac:dyDescent="0.25">
      <c r="A1912" s="5">
        <v>45596</v>
      </c>
      <c r="B1912" s="1" t="s">
        <v>10</v>
      </c>
      <c r="C1912" s="1" t="s">
        <v>18</v>
      </c>
      <c r="D1912" s="1" t="s">
        <v>25</v>
      </c>
      <c r="E1912" s="10">
        <v>8</v>
      </c>
      <c r="F1912" s="10">
        <v>935</v>
      </c>
      <c r="G1912" s="1" t="s">
        <v>34</v>
      </c>
      <c r="H1912" s="10">
        <f t="shared" si="60"/>
        <v>7480</v>
      </c>
      <c r="I1912" s="7">
        <v>6211.574677405697</v>
      </c>
      <c r="J1912" s="7">
        <f t="shared" si="61"/>
        <v>1268.425322594303</v>
      </c>
      <c r="K1912" s="1">
        <f>IF(B1912="North",28.6,
IF(B1912="South",13,
IF(B1912="East",22.6,
IF(B1912="West",19,
23.5))))</f>
        <v>28.6</v>
      </c>
      <c r="L1912" s="1">
        <f>IF(B1912="North",77.2,
IF(B1912="South",80.2,
IF(B1912="East",88.4,
IF(B1912="West",72.8,
78.9))))</f>
        <v>77.2</v>
      </c>
    </row>
    <row r="1913" spans="1:12" x14ac:dyDescent="0.25">
      <c r="A1913" s="5">
        <v>45641</v>
      </c>
      <c r="B1913" s="1" t="s">
        <v>10</v>
      </c>
      <c r="C1913" s="1" t="s">
        <v>22</v>
      </c>
      <c r="D1913" s="1" t="s">
        <v>26</v>
      </c>
      <c r="E1913" s="10">
        <v>18</v>
      </c>
      <c r="F1913" s="10">
        <v>1874</v>
      </c>
      <c r="G1913" s="1" t="s">
        <v>35</v>
      </c>
      <c r="H1913" s="10">
        <f t="shared" si="60"/>
        <v>33732</v>
      </c>
      <c r="I1913" s="7">
        <v>24178.353332845461</v>
      </c>
      <c r="J1913" s="7">
        <f t="shared" si="61"/>
        <v>9553.6466671545386</v>
      </c>
      <c r="K1913" s="1">
        <f>IF(B1913="North",28.6,
IF(B1913="South",13,
IF(B1913="East",22.6,
IF(B1913="West",19,
23.5))))</f>
        <v>28.6</v>
      </c>
      <c r="L1913" s="1">
        <f>IF(B1913="North",77.2,
IF(B1913="South",80.2,
IF(B1913="East",88.4,
IF(B1913="West",72.8,
78.9))))</f>
        <v>77.2</v>
      </c>
    </row>
    <row r="1914" spans="1:12" x14ac:dyDescent="0.25">
      <c r="A1914" s="5">
        <v>45504</v>
      </c>
      <c r="B1914" s="1" t="s">
        <v>13</v>
      </c>
      <c r="C1914" s="1" t="s">
        <v>18</v>
      </c>
      <c r="D1914" s="1" t="s">
        <v>29</v>
      </c>
      <c r="E1914" s="10">
        <v>16</v>
      </c>
      <c r="F1914" s="10">
        <v>492</v>
      </c>
      <c r="G1914" s="1" t="s">
        <v>34</v>
      </c>
      <c r="H1914" s="10">
        <f t="shared" si="60"/>
        <v>7872</v>
      </c>
      <c r="I1914" s="7">
        <v>6624.1148435276946</v>
      </c>
      <c r="J1914" s="7">
        <f t="shared" si="61"/>
        <v>1247.8851564723054</v>
      </c>
      <c r="K1914" s="1">
        <f>IF(B1914="North",28.6,
IF(B1914="South",13,
IF(B1914="East",22.6,
IF(B1914="West",19,
23.5))))</f>
        <v>13</v>
      </c>
      <c r="L1914" s="1">
        <f>IF(B1914="North",77.2,
IF(B1914="South",80.2,
IF(B1914="East",88.4,
IF(B1914="West",72.8,
78.9))))</f>
        <v>80.2</v>
      </c>
    </row>
    <row r="1915" spans="1:12" x14ac:dyDescent="0.25">
      <c r="A1915" s="5">
        <v>45450</v>
      </c>
      <c r="B1915" s="1" t="s">
        <v>11</v>
      </c>
      <c r="C1915" s="1" t="s">
        <v>21</v>
      </c>
      <c r="D1915" s="1" t="s">
        <v>26</v>
      </c>
      <c r="E1915" s="10">
        <v>18</v>
      </c>
      <c r="F1915" s="10">
        <v>1866</v>
      </c>
      <c r="G1915" s="1" t="s">
        <v>35</v>
      </c>
      <c r="H1915" s="10">
        <f t="shared" si="60"/>
        <v>33588</v>
      </c>
      <c r="I1915" s="7">
        <v>30037.77207910881</v>
      </c>
      <c r="J1915" s="7">
        <f t="shared" si="61"/>
        <v>3550.2279208911896</v>
      </c>
      <c r="K1915" s="1">
        <f>IF(B1915="North",28.6,
IF(B1915="South",13,
IF(B1915="East",22.6,
IF(B1915="West",19,
23.5))))</f>
        <v>19</v>
      </c>
      <c r="L1915" s="1">
        <f>IF(B1915="North",77.2,
IF(B1915="South",80.2,
IF(B1915="East",88.4,
IF(B1915="West",72.8,
78.9))))</f>
        <v>72.8</v>
      </c>
    </row>
    <row r="1916" spans="1:12" x14ac:dyDescent="0.25">
      <c r="A1916" s="5">
        <v>45315</v>
      </c>
      <c r="B1916" s="1" t="s">
        <v>12</v>
      </c>
      <c r="C1916" s="1" t="s">
        <v>21</v>
      </c>
      <c r="D1916" s="1" t="s">
        <v>27</v>
      </c>
      <c r="E1916" s="10">
        <v>12</v>
      </c>
      <c r="F1916" s="10">
        <v>973</v>
      </c>
      <c r="G1916" s="1" t="s">
        <v>35</v>
      </c>
      <c r="H1916" s="10">
        <f t="shared" si="60"/>
        <v>11676</v>
      </c>
      <c r="I1916" s="7">
        <v>8364.0629386430846</v>
      </c>
      <c r="J1916" s="7">
        <f t="shared" si="61"/>
        <v>3311.9370613569154</v>
      </c>
      <c r="K1916" s="1">
        <f>IF(B1916="North",28.6,
IF(B1916="South",13,
IF(B1916="East",22.6,
IF(B1916="West",19,
23.5))))</f>
        <v>22.6</v>
      </c>
      <c r="L1916" s="1">
        <f>IF(B1916="North",77.2,
IF(B1916="South",80.2,
IF(B1916="East",88.4,
IF(B1916="West",72.8,
78.9))))</f>
        <v>88.4</v>
      </c>
    </row>
    <row r="1917" spans="1:12" x14ac:dyDescent="0.25">
      <c r="A1917" s="5">
        <v>45584</v>
      </c>
      <c r="B1917" s="1" t="s">
        <v>12</v>
      </c>
      <c r="C1917" s="1" t="s">
        <v>22</v>
      </c>
      <c r="D1917" s="1" t="s">
        <v>26</v>
      </c>
      <c r="E1917" s="10">
        <v>13</v>
      </c>
      <c r="F1917" s="10">
        <v>480</v>
      </c>
      <c r="G1917" s="1" t="s">
        <v>35</v>
      </c>
      <c r="H1917" s="10">
        <f t="shared" si="60"/>
        <v>6240</v>
      </c>
      <c r="I1917" s="7">
        <v>5326.0246813629037</v>
      </c>
      <c r="J1917" s="7">
        <f t="shared" si="61"/>
        <v>913.97531863709628</v>
      </c>
      <c r="K1917" s="1">
        <f>IF(B1917="North",28.6,
IF(B1917="South",13,
IF(B1917="East",22.6,
IF(B1917="West",19,
23.5))))</f>
        <v>22.6</v>
      </c>
      <c r="L1917" s="1">
        <f>IF(B1917="North",77.2,
IF(B1917="South",80.2,
IF(B1917="East",88.4,
IF(B1917="West",72.8,
78.9))))</f>
        <v>88.4</v>
      </c>
    </row>
    <row r="1918" spans="1:12" x14ac:dyDescent="0.25">
      <c r="A1918" s="5">
        <v>45295</v>
      </c>
      <c r="B1918" s="1" t="s">
        <v>10</v>
      </c>
      <c r="C1918" s="1" t="s">
        <v>23</v>
      </c>
      <c r="D1918" s="1" t="s">
        <v>25</v>
      </c>
      <c r="E1918" s="10">
        <v>13</v>
      </c>
      <c r="F1918" s="10">
        <v>191</v>
      </c>
      <c r="G1918" s="1" t="s">
        <v>34</v>
      </c>
      <c r="H1918" s="10">
        <f t="shared" si="60"/>
        <v>2483</v>
      </c>
      <c r="I1918" s="7">
        <v>2226.0716928235402</v>
      </c>
      <c r="J1918" s="7">
        <f t="shared" si="61"/>
        <v>256.92830717645984</v>
      </c>
      <c r="K1918" s="1">
        <f>IF(B1918="North",28.6,
IF(B1918="South",13,
IF(B1918="East",22.6,
IF(B1918="West",19,
23.5))))</f>
        <v>28.6</v>
      </c>
      <c r="L1918" s="1">
        <f>IF(B1918="North",77.2,
IF(B1918="South",80.2,
IF(B1918="East",88.4,
IF(B1918="West",72.8,
78.9))))</f>
        <v>77.2</v>
      </c>
    </row>
    <row r="1919" spans="1:12" x14ac:dyDescent="0.25">
      <c r="A1919" s="5">
        <v>45511</v>
      </c>
      <c r="B1919" s="1" t="s">
        <v>12</v>
      </c>
      <c r="C1919" s="1" t="s">
        <v>24</v>
      </c>
      <c r="D1919" s="1" t="s">
        <v>28</v>
      </c>
      <c r="E1919" s="10">
        <v>10</v>
      </c>
      <c r="F1919" s="10">
        <v>1914</v>
      </c>
      <c r="G1919" s="1" t="s">
        <v>35</v>
      </c>
      <c r="H1919" s="10">
        <f t="shared" si="60"/>
        <v>19140</v>
      </c>
      <c r="I1919" s="7">
        <v>17133.152681170621</v>
      </c>
      <c r="J1919" s="7">
        <f t="shared" si="61"/>
        <v>2006.8473188293792</v>
      </c>
      <c r="K1919" s="1">
        <f>IF(B1919="North",28.6,
IF(B1919="South",13,
IF(B1919="East",22.6,
IF(B1919="West",19,
23.5))))</f>
        <v>22.6</v>
      </c>
      <c r="L1919" s="1">
        <f>IF(B1919="North",77.2,
IF(B1919="South",80.2,
IF(B1919="East",88.4,
IF(B1919="West",72.8,
78.9))))</f>
        <v>88.4</v>
      </c>
    </row>
    <row r="1920" spans="1:12" x14ac:dyDescent="0.25">
      <c r="A1920" s="5">
        <v>45655</v>
      </c>
      <c r="B1920" s="1" t="s">
        <v>10</v>
      </c>
      <c r="C1920" s="1" t="s">
        <v>21</v>
      </c>
      <c r="D1920" s="1" t="s">
        <v>27</v>
      </c>
      <c r="E1920" s="10">
        <v>7</v>
      </c>
      <c r="F1920" s="10">
        <v>546</v>
      </c>
      <c r="G1920" s="1" t="s">
        <v>35</v>
      </c>
      <c r="H1920" s="10">
        <f t="shared" si="60"/>
        <v>3822</v>
      </c>
      <c r="I1920" s="7">
        <v>2790.5619220860908</v>
      </c>
      <c r="J1920" s="7">
        <f t="shared" si="61"/>
        <v>1031.4380779139092</v>
      </c>
      <c r="K1920" s="1">
        <f>IF(B1920="North",28.6,
IF(B1920="South",13,
IF(B1920="East",22.6,
IF(B1920="West",19,
23.5))))</f>
        <v>28.6</v>
      </c>
      <c r="L1920" s="1">
        <f>IF(B1920="North",77.2,
IF(B1920="South",80.2,
IF(B1920="East",88.4,
IF(B1920="West",72.8,
78.9))))</f>
        <v>77.2</v>
      </c>
    </row>
    <row r="1921" spans="1:12" x14ac:dyDescent="0.25">
      <c r="A1921" s="5">
        <v>45311</v>
      </c>
      <c r="B1921" s="1" t="s">
        <v>12</v>
      </c>
      <c r="C1921" s="1" t="s">
        <v>24</v>
      </c>
      <c r="D1921" s="1" t="s">
        <v>28</v>
      </c>
      <c r="E1921" s="10">
        <v>14</v>
      </c>
      <c r="F1921" s="10">
        <v>208</v>
      </c>
      <c r="G1921" s="1" t="s">
        <v>35</v>
      </c>
      <c r="H1921" s="10">
        <f t="shared" si="60"/>
        <v>2912</v>
      </c>
      <c r="I1921" s="7">
        <v>2171.5609149117372</v>
      </c>
      <c r="J1921" s="7">
        <f t="shared" si="61"/>
        <v>740.4390850882628</v>
      </c>
      <c r="K1921" s="1">
        <f>IF(B1921="North",28.6,
IF(B1921="South",13,
IF(B1921="East",22.6,
IF(B1921="West",19,
23.5))))</f>
        <v>22.6</v>
      </c>
      <c r="L1921" s="1">
        <f>IF(B1921="North",77.2,
IF(B1921="South",80.2,
IF(B1921="East",88.4,
IF(B1921="West",72.8,
78.9))))</f>
        <v>88.4</v>
      </c>
    </row>
    <row r="1922" spans="1:12" x14ac:dyDescent="0.25">
      <c r="A1922" s="5">
        <v>45443</v>
      </c>
      <c r="B1922" s="1" t="s">
        <v>36</v>
      </c>
      <c r="C1922" s="1" t="s">
        <v>21</v>
      </c>
      <c r="D1922" s="1" t="s">
        <v>29</v>
      </c>
      <c r="E1922" s="10">
        <v>16</v>
      </c>
      <c r="F1922" s="10">
        <v>416</v>
      </c>
      <c r="G1922" s="1" t="s">
        <v>35</v>
      </c>
      <c r="H1922" s="10">
        <f t="shared" si="60"/>
        <v>6656</v>
      </c>
      <c r="I1922" s="7">
        <v>4599.4322382887458</v>
      </c>
      <c r="J1922" s="7">
        <f t="shared" si="61"/>
        <v>2056.5677617112542</v>
      </c>
      <c r="K1922" s="1">
        <f>IF(B1922="North",28.6,
IF(B1922="South",13,
IF(B1922="East",22.6,
IF(B1922="West",19,
23.5))))</f>
        <v>23.5</v>
      </c>
      <c r="L1922" s="1">
        <f>IF(B1922="North",77.2,
IF(B1922="South",80.2,
IF(B1922="East",88.4,
IF(B1922="West",72.8,
78.9))))</f>
        <v>78.900000000000006</v>
      </c>
    </row>
    <row r="1923" spans="1:12" x14ac:dyDescent="0.25">
      <c r="A1923" s="5">
        <v>45341</v>
      </c>
      <c r="B1923" s="1" t="s">
        <v>10</v>
      </c>
      <c r="C1923" s="1" t="s">
        <v>17</v>
      </c>
      <c r="D1923" s="1" t="s">
        <v>27</v>
      </c>
      <c r="E1923" s="10">
        <v>15</v>
      </c>
      <c r="F1923" s="10">
        <v>1291</v>
      </c>
      <c r="G1923" s="1" t="s">
        <v>33</v>
      </c>
      <c r="H1923" s="10">
        <f t="shared" ref="H1923:H1986" si="62">E1923*F1923</f>
        <v>19365</v>
      </c>
      <c r="I1923" s="7">
        <v>13443.292007845081</v>
      </c>
      <c r="J1923" s="7">
        <f t="shared" ref="J1923:J1986" si="63">H1923-I1923</f>
        <v>5921.7079921549193</v>
      </c>
      <c r="K1923" s="1">
        <f>IF(B1923="North",28.6,
IF(B1923="South",13,
IF(B1923="East",22.6,
IF(B1923="West",19,
23.5))))</f>
        <v>28.6</v>
      </c>
      <c r="L1923" s="1">
        <f>IF(B1923="North",77.2,
IF(B1923="South",80.2,
IF(B1923="East",88.4,
IF(B1923="West",72.8,
78.9))))</f>
        <v>77.2</v>
      </c>
    </row>
    <row r="1924" spans="1:12" x14ac:dyDescent="0.25">
      <c r="A1924" s="5">
        <v>45468</v>
      </c>
      <c r="B1924" s="1" t="s">
        <v>10</v>
      </c>
      <c r="C1924" s="1" t="s">
        <v>22</v>
      </c>
      <c r="D1924" s="1" t="s">
        <v>29</v>
      </c>
      <c r="E1924" s="10">
        <v>12</v>
      </c>
      <c r="F1924" s="10">
        <v>1935</v>
      </c>
      <c r="G1924" s="1" t="s">
        <v>35</v>
      </c>
      <c r="H1924" s="10">
        <f t="shared" si="62"/>
        <v>23220</v>
      </c>
      <c r="I1924" s="7">
        <v>17362.55035725615</v>
      </c>
      <c r="J1924" s="7">
        <f t="shared" si="63"/>
        <v>5857.4496427438498</v>
      </c>
      <c r="K1924" s="1">
        <f>IF(B1924="North",28.6,
IF(B1924="South",13,
IF(B1924="East",22.6,
IF(B1924="West",19,
23.5))))</f>
        <v>28.6</v>
      </c>
      <c r="L1924" s="1">
        <f>IF(B1924="North",77.2,
IF(B1924="South",80.2,
IF(B1924="East",88.4,
IF(B1924="West",72.8,
78.9))))</f>
        <v>77.2</v>
      </c>
    </row>
    <row r="1925" spans="1:12" x14ac:dyDescent="0.25">
      <c r="A1925" s="5">
        <v>45387</v>
      </c>
      <c r="B1925" s="1" t="s">
        <v>13</v>
      </c>
      <c r="C1925" s="1" t="s">
        <v>21</v>
      </c>
      <c r="D1925" s="1" t="s">
        <v>29</v>
      </c>
      <c r="E1925" s="10">
        <v>9</v>
      </c>
      <c r="F1925" s="10">
        <v>1558</v>
      </c>
      <c r="G1925" s="1" t="s">
        <v>35</v>
      </c>
      <c r="H1925" s="10">
        <f t="shared" si="62"/>
        <v>14022</v>
      </c>
      <c r="I1925" s="7">
        <v>9256.7015009645202</v>
      </c>
      <c r="J1925" s="7">
        <f t="shared" si="63"/>
        <v>4765.2984990354798</v>
      </c>
      <c r="K1925" s="1">
        <f>IF(B1925="North",28.6,
IF(B1925="South",13,
IF(B1925="East",22.6,
IF(B1925="West",19,
23.5))))</f>
        <v>13</v>
      </c>
      <c r="L1925" s="1">
        <f>IF(B1925="North",77.2,
IF(B1925="South",80.2,
IF(B1925="East",88.4,
IF(B1925="West",72.8,
78.9))))</f>
        <v>80.2</v>
      </c>
    </row>
    <row r="1926" spans="1:12" x14ac:dyDescent="0.25">
      <c r="A1926" s="5">
        <v>45396</v>
      </c>
      <c r="B1926" s="1" t="s">
        <v>10</v>
      </c>
      <c r="C1926" s="1" t="s">
        <v>17</v>
      </c>
      <c r="D1926" s="1" t="s">
        <v>26</v>
      </c>
      <c r="E1926" s="10">
        <v>8</v>
      </c>
      <c r="F1926" s="10">
        <v>541</v>
      </c>
      <c r="G1926" s="1" t="s">
        <v>33</v>
      </c>
      <c r="H1926" s="10">
        <f t="shared" si="62"/>
        <v>4328</v>
      </c>
      <c r="I1926" s="7">
        <v>3520.1224877275581</v>
      </c>
      <c r="J1926" s="7">
        <f t="shared" si="63"/>
        <v>807.87751227244189</v>
      </c>
      <c r="K1926" s="1">
        <f>IF(B1926="North",28.6,
IF(B1926="South",13,
IF(B1926="East",22.6,
IF(B1926="West",19,
23.5))))</f>
        <v>28.6</v>
      </c>
      <c r="L1926" s="1">
        <f>IF(B1926="North",77.2,
IF(B1926="South",80.2,
IF(B1926="East",88.4,
IF(B1926="West",72.8,
78.9))))</f>
        <v>77.2</v>
      </c>
    </row>
    <row r="1927" spans="1:12" x14ac:dyDescent="0.25">
      <c r="A1927" s="5">
        <v>45541</v>
      </c>
      <c r="B1927" s="1" t="s">
        <v>12</v>
      </c>
      <c r="C1927" s="1" t="s">
        <v>18</v>
      </c>
      <c r="D1927" s="1" t="s">
        <v>28</v>
      </c>
      <c r="E1927" s="10">
        <v>18</v>
      </c>
      <c r="F1927" s="10">
        <v>317</v>
      </c>
      <c r="G1927" s="1" t="s">
        <v>34</v>
      </c>
      <c r="H1927" s="10">
        <f t="shared" si="62"/>
        <v>5706</v>
      </c>
      <c r="I1927" s="7">
        <v>4341.6529497923293</v>
      </c>
      <c r="J1927" s="7">
        <f t="shared" si="63"/>
        <v>1364.3470502076707</v>
      </c>
      <c r="K1927" s="1">
        <f>IF(B1927="North",28.6,
IF(B1927="South",13,
IF(B1927="East",22.6,
IF(B1927="West",19,
23.5))))</f>
        <v>22.6</v>
      </c>
      <c r="L1927" s="1">
        <f>IF(B1927="North",77.2,
IF(B1927="South",80.2,
IF(B1927="East",88.4,
IF(B1927="West",72.8,
78.9))))</f>
        <v>88.4</v>
      </c>
    </row>
    <row r="1928" spans="1:12" x14ac:dyDescent="0.25">
      <c r="A1928" s="5">
        <v>45408</v>
      </c>
      <c r="B1928" s="1" t="s">
        <v>12</v>
      </c>
      <c r="C1928" s="1" t="s">
        <v>20</v>
      </c>
      <c r="D1928" s="1" t="s">
        <v>29</v>
      </c>
      <c r="E1928" s="10">
        <v>18</v>
      </c>
      <c r="F1928" s="10">
        <v>1345</v>
      </c>
      <c r="G1928" s="1" t="s">
        <v>33</v>
      </c>
      <c r="H1928" s="10">
        <f t="shared" si="62"/>
        <v>24210</v>
      </c>
      <c r="I1928" s="7">
        <v>21048.66684664955</v>
      </c>
      <c r="J1928" s="7">
        <f t="shared" si="63"/>
        <v>3161.3331533504497</v>
      </c>
      <c r="K1928" s="1">
        <f>IF(B1928="North",28.6,
IF(B1928="South",13,
IF(B1928="East",22.6,
IF(B1928="West",19,
23.5))))</f>
        <v>22.6</v>
      </c>
      <c r="L1928" s="1">
        <f>IF(B1928="North",77.2,
IF(B1928="South",80.2,
IF(B1928="East",88.4,
IF(B1928="West",72.8,
78.9))))</f>
        <v>88.4</v>
      </c>
    </row>
    <row r="1929" spans="1:12" x14ac:dyDescent="0.25">
      <c r="A1929" s="5">
        <v>45645</v>
      </c>
      <c r="B1929" s="1" t="s">
        <v>10</v>
      </c>
      <c r="C1929" s="1" t="s">
        <v>17</v>
      </c>
      <c r="D1929" s="1" t="s">
        <v>28</v>
      </c>
      <c r="E1929" s="10">
        <v>13</v>
      </c>
      <c r="F1929" s="10">
        <v>772</v>
      </c>
      <c r="G1929" s="1" t="s">
        <v>33</v>
      </c>
      <c r="H1929" s="10">
        <f t="shared" si="62"/>
        <v>10036</v>
      </c>
      <c r="I1929" s="7">
        <v>8462.101591716777</v>
      </c>
      <c r="J1929" s="7">
        <f t="shared" si="63"/>
        <v>1573.898408283223</v>
      </c>
      <c r="K1929" s="1">
        <f>IF(B1929="North",28.6,
IF(B1929="South",13,
IF(B1929="East",22.6,
IF(B1929="West",19,
23.5))))</f>
        <v>28.6</v>
      </c>
      <c r="L1929" s="1">
        <f>IF(B1929="North",77.2,
IF(B1929="South",80.2,
IF(B1929="East",88.4,
IF(B1929="West",72.8,
78.9))))</f>
        <v>77.2</v>
      </c>
    </row>
    <row r="1930" spans="1:12" x14ac:dyDescent="0.25">
      <c r="A1930" s="5">
        <v>45519</v>
      </c>
      <c r="B1930" s="1" t="s">
        <v>12</v>
      </c>
      <c r="C1930" s="1" t="s">
        <v>19</v>
      </c>
      <c r="D1930" s="1" t="s">
        <v>28</v>
      </c>
      <c r="E1930" s="10">
        <v>18</v>
      </c>
      <c r="F1930" s="10">
        <v>1651</v>
      </c>
      <c r="G1930" s="1" t="s">
        <v>35</v>
      </c>
      <c r="H1930" s="10">
        <f t="shared" si="62"/>
        <v>29718</v>
      </c>
      <c r="I1930" s="7">
        <v>20705.758959468429</v>
      </c>
      <c r="J1930" s="7">
        <f t="shared" si="63"/>
        <v>9012.2410405315713</v>
      </c>
      <c r="K1930" s="1">
        <f>IF(B1930="North",28.6,
IF(B1930="South",13,
IF(B1930="East",22.6,
IF(B1930="West",19,
23.5))))</f>
        <v>22.6</v>
      </c>
      <c r="L1930" s="1">
        <f>IF(B1930="North",77.2,
IF(B1930="South",80.2,
IF(B1930="East",88.4,
IF(B1930="West",72.8,
78.9))))</f>
        <v>88.4</v>
      </c>
    </row>
    <row r="1931" spans="1:12" x14ac:dyDescent="0.25">
      <c r="A1931" s="5">
        <v>45357</v>
      </c>
      <c r="B1931" s="1" t="s">
        <v>11</v>
      </c>
      <c r="C1931" s="1" t="s">
        <v>21</v>
      </c>
      <c r="D1931" s="1" t="s">
        <v>27</v>
      </c>
      <c r="E1931" s="10">
        <v>15</v>
      </c>
      <c r="F1931" s="10">
        <v>377</v>
      </c>
      <c r="G1931" s="1" t="s">
        <v>35</v>
      </c>
      <c r="H1931" s="10">
        <f t="shared" si="62"/>
        <v>5655</v>
      </c>
      <c r="I1931" s="7">
        <v>4251.0975429494729</v>
      </c>
      <c r="J1931" s="7">
        <f t="shared" si="63"/>
        <v>1403.9024570505271</v>
      </c>
      <c r="K1931" s="1">
        <f>IF(B1931="North",28.6,
IF(B1931="South",13,
IF(B1931="East",22.6,
IF(B1931="West",19,
23.5))))</f>
        <v>19</v>
      </c>
      <c r="L1931" s="1">
        <f>IF(B1931="North",77.2,
IF(B1931="South",80.2,
IF(B1931="East",88.4,
IF(B1931="West",72.8,
78.9))))</f>
        <v>72.8</v>
      </c>
    </row>
    <row r="1932" spans="1:12" x14ac:dyDescent="0.25">
      <c r="A1932" s="5">
        <v>45626</v>
      </c>
      <c r="B1932" s="1" t="s">
        <v>10</v>
      </c>
      <c r="C1932" s="1" t="s">
        <v>17</v>
      </c>
      <c r="D1932" s="1" t="s">
        <v>31</v>
      </c>
      <c r="E1932" s="10">
        <v>4</v>
      </c>
      <c r="F1932" s="10">
        <v>1108</v>
      </c>
      <c r="G1932" s="1" t="s">
        <v>33</v>
      </c>
      <c r="H1932" s="10">
        <f t="shared" si="62"/>
        <v>4432</v>
      </c>
      <c r="I1932" s="7">
        <v>3657.0846477885138</v>
      </c>
      <c r="J1932" s="7">
        <f t="shared" si="63"/>
        <v>774.91535221148615</v>
      </c>
      <c r="K1932" s="1">
        <f>IF(B1932="North",28.6,
IF(B1932="South",13,
IF(B1932="East",22.6,
IF(B1932="West",19,
23.5))))</f>
        <v>28.6</v>
      </c>
      <c r="L1932" s="1">
        <f>IF(B1932="North",77.2,
IF(B1932="South",80.2,
IF(B1932="East",88.4,
IF(B1932="West",72.8,
78.9))))</f>
        <v>77.2</v>
      </c>
    </row>
    <row r="1933" spans="1:12" x14ac:dyDescent="0.25">
      <c r="A1933" s="5">
        <v>45553</v>
      </c>
      <c r="B1933" s="1" t="s">
        <v>13</v>
      </c>
      <c r="C1933" s="1" t="s">
        <v>24</v>
      </c>
      <c r="D1933" s="1" t="s">
        <v>26</v>
      </c>
      <c r="E1933" s="10">
        <v>17</v>
      </c>
      <c r="F1933" s="10">
        <v>668</v>
      </c>
      <c r="G1933" s="1" t="s">
        <v>35</v>
      </c>
      <c r="H1933" s="10">
        <f t="shared" si="62"/>
        <v>11356</v>
      </c>
      <c r="I1933" s="7">
        <v>7471.794194293384</v>
      </c>
      <c r="J1933" s="7">
        <f t="shared" si="63"/>
        <v>3884.205805706616</v>
      </c>
      <c r="K1933" s="1">
        <f>IF(B1933="North",28.6,
IF(B1933="South",13,
IF(B1933="East",22.6,
IF(B1933="West",19,
23.5))))</f>
        <v>13</v>
      </c>
      <c r="L1933" s="1">
        <f>IF(B1933="North",77.2,
IF(B1933="South",80.2,
IF(B1933="East",88.4,
IF(B1933="West",72.8,
78.9))))</f>
        <v>80.2</v>
      </c>
    </row>
    <row r="1934" spans="1:12" x14ac:dyDescent="0.25">
      <c r="A1934" s="5">
        <v>45586</v>
      </c>
      <c r="B1934" s="1" t="s">
        <v>11</v>
      </c>
      <c r="C1934" s="1" t="s">
        <v>20</v>
      </c>
      <c r="D1934" s="1" t="s">
        <v>29</v>
      </c>
      <c r="E1934" s="10">
        <v>5</v>
      </c>
      <c r="F1934" s="10">
        <v>1697</v>
      </c>
      <c r="G1934" s="1" t="s">
        <v>33</v>
      </c>
      <c r="H1934" s="10">
        <f t="shared" si="62"/>
        <v>8485</v>
      </c>
      <c r="I1934" s="7">
        <v>5171.4320212506582</v>
      </c>
      <c r="J1934" s="7">
        <f t="shared" si="63"/>
        <v>3313.5679787493418</v>
      </c>
      <c r="K1934" s="1">
        <f>IF(B1934="North",28.6,
IF(B1934="South",13,
IF(B1934="East",22.6,
IF(B1934="West",19,
23.5))))</f>
        <v>19</v>
      </c>
      <c r="L1934" s="1">
        <f>IF(B1934="North",77.2,
IF(B1934="South",80.2,
IF(B1934="East",88.4,
IF(B1934="West",72.8,
78.9))))</f>
        <v>72.8</v>
      </c>
    </row>
    <row r="1935" spans="1:12" x14ac:dyDescent="0.25">
      <c r="A1935" s="5">
        <v>45534</v>
      </c>
      <c r="B1935" s="1" t="s">
        <v>10</v>
      </c>
      <c r="C1935" s="1" t="s">
        <v>23</v>
      </c>
      <c r="D1935" s="1" t="s">
        <v>28</v>
      </c>
      <c r="E1935" s="10">
        <v>16</v>
      </c>
      <c r="F1935" s="10">
        <v>1109</v>
      </c>
      <c r="G1935" s="1" t="s">
        <v>34</v>
      </c>
      <c r="H1935" s="10">
        <f t="shared" si="62"/>
        <v>17744</v>
      </c>
      <c r="I1935" s="7">
        <v>15183.387454444261</v>
      </c>
      <c r="J1935" s="7">
        <f t="shared" si="63"/>
        <v>2560.6125455557394</v>
      </c>
      <c r="K1935" s="1">
        <f>IF(B1935="North",28.6,
IF(B1935="South",13,
IF(B1935="East",22.6,
IF(B1935="West",19,
23.5))))</f>
        <v>28.6</v>
      </c>
      <c r="L1935" s="1">
        <f>IF(B1935="North",77.2,
IF(B1935="South",80.2,
IF(B1935="East",88.4,
IF(B1935="West",72.8,
78.9))))</f>
        <v>77.2</v>
      </c>
    </row>
    <row r="1936" spans="1:12" x14ac:dyDescent="0.25">
      <c r="A1936" s="5">
        <v>45477</v>
      </c>
      <c r="B1936" s="1" t="s">
        <v>13</v>
      </c>
      <c r="C1936" s="1" t="s">
        <v>21</v>
      </c>
      <c r="D1936" s="1" t="s">
        <v>32</v>
      </c>
      <c r="E1936" s="10">
        <v>9</v>
      </c>
      <c r="F1936" s="10">
        <v>974</v>
      </c>
      <c r="G1936" s="1" t="s">
        <v>35</v>
      </c>
      <c r="H1936" s="10">
        <f t="shared" si="62"/>
        <v>8766</v>
      </c>
      <c r="I1936" s="7">
        <v>5621.329667154956</v>
      </c>
      <c r="J1936" s="7">
        <f t="shared" si="63"/>
        <v>3144.670332845044</v>
      </c>
      <c r="K1936" s="1">
        <f>IF(B1936="North",28.6,
IF(B1936="South",13,
IF(B1936="East",22.6,
IF(B1936="West",19,
23.5))))</f>
        <v>13</v>
      </c>
      <c r="L1936" s="1">
        <f>IF(B1936="North",77.2,
IF(B1936="South",80.2,
IF(B1936="East",88.4,
IF(B1936="West",72.8,
78.9))))</f>
        <v>80.2</v>
      </c>
    </row>
    <row r="1937" spans="1:12" x14ac:dyDescent="0.25">
      <c r="A1937" s="5">
        <v>45537</v>
      </c>
      <c r="B1937" s="1" t="s">
        <v>12</v>
      </c>
      <c r="C1937" s="1" t="s">
        <v>19</v>
      </c>
      <c r="D1937" s="1" t="s">
        <v>31</v>
      </c>
      <c r="E1937" s="10">
        <v>10</v>
      </c>
      <c r="F1937" s="10">
        <v>565</v>
      </c>
      <c r="G1937" s="1" t="s">
        <v>35</v>
      </c>
      <c r="H1937" s="10">
        <f t="shared" si="62"/>
        <v>5650</v>
      </c>
      <c r="I1937" s="7">
        <v>4897.5523754665319</v>
      </c>
      <c r="J1937" s="7">
        <f t="shared" si="63"/>
        <v>752.44762453346812</v>
      </c>
      <c r="K1937" s="1">
        <f>IF(B1937="North",28.6,
IF(B1937="South",13,
IF(B1937="East",22.6,
IF(B1937="West",19,
23.5))))</f>
        <v>22.6</v>
      </c>
      <c r="L1937" s="1">
        <f>IF(B1937="North",77.2,
IF(B1937="South",80.2,
IF(B1937="East",88.4,
IF(B1937="West",72.8,
78.9))))</f>
        <v>88.4</v>
      </c>
    </row>
    <row r="1938" spans="1:12" x14ac:dyDescent="0.25">
      <c r="A1938" s="5">
        <v>45416</v>
      </c>
      <c r="B1938" s="1" t="s">
        <v>13</v>
      </c>
      <c r="C1938" s="1" t="s">
        <v>23</v>
      </c>
      <c r="D1938" s="1" t="s">
        <v>29</v>
      </c>
      <c r="E1938" s="10">
        <v>18</v>
      </c>
      <c r="F1938" s="10">
        <v>938</v>
      </c>
      <c r="G1938" s="1" t="s">
        <v>34</v>
      </c>
      <c r="H1938" s="10">
        <f t="shared" si="62"/>
        <v>16884</v>
      </c>
      <c r="I1938" s="7">
        <v>14758.00736256277</v>
      </c>
      <c r="J1938" s="7">
        <f t="shared" si="63"/>
        <v>2125.9926374372299</v>
      </c>
      <c r="K1938" s="1">
        <f>IF(B1938="North",28.6,
IF(B1938="South",13,
IF(B1938="East",22.6,
IF(B1938="West",19,
23.5))))</f>
        <v>13</v>
      </c>
      <c r="L1938" s="1">
        <f>IF(B1938="North",77.2,
IF(B1938="South",80.2,
IF(B1938="East",88.4,
IF(B1938="West",72.8,
78.9))))</f>
        <v>80.2</v>
      </c>
    </row>
    <row r="1939" spans="1:12" x14ac:dyDescent="0.25">
      <c r="A1939" s="5">
        <v>45559</v>
      </c>
      <c r="B1939" s="1" t="s">
        <v>11</v>
      </c>
      <c r="C1939" s="1" t="s">
        <v>17</v>
      </c>
      <c r="D1939" s="1" t="s">
        <v>32</v>
      </c>
      <c r="E1939" s="10">
        <v>17</v>
      </c>
      <c r="F1939" s="10">
        <v>853</v>
      </c>
      <c r="G1939" s="1" t="s">
        <v>33</v>
      </c>
      <c r="H1939" s="10">
        <f t="shared" si="62"/>
        <v>14501</v>
      </c>
      <c r="I1939" s="7">
        <v>10704.78511602807</v>
      </c>
      <c r="J1939" s="7">
        <f t="shared" si="63"/>
        <v>3796.2148839719302</v>
      </c>
      <c r="K1939" s="1">
        <f>IF(B1939="North",28.6,
IF(B1939="South",13,
IF(B1939="East",22.6,
IF(B1939="West",19,
23.5))))</f>
        <v>19</v>
      </c>
      <c r="L1939" s="1">
        <f>IF(B1939="North",77.2,
IF(B1939="South",80.2,
IF(B1939="East",88.4,
IF(B1939="West",72.8,
78.9))))</f>
        <v>72.8</v>
      </c>
    </row>
    <row r="1940" spans="1:12" x14ac:dyDescent="0.25">
      <c r="A1940" s="5">
        <v>45422</v>
      </c>
      <c r="B1940" s="1" t="s">
        <v>12</v>
      </c>
      <c r="C1940" s="1" t="s">
        <v>23</v>
      </c>
      <c r="D1940" s="1" t="s">
        <v>26</v>
      </c>
      <c r="E1940" s="10">
        <v>18</v>
      </c>
      <c r="F1940" s="10">
        <v>1725</v>
      </c>
      <c r="G1940" s="1" t="s">
        <v>34</v>
      </c>
      <c r="H1940" s="10">
        <f t="shared" si="62"/>
        <v>31050</v>
      </c>
      <c r="I1940" s="7">
        <v>26145.171650564269</v>
      </c>
      <c r="J1940" s="7">
        <f t="shared" si="63"/>
        <v>4904.8283494357311</v>
      </c>
      <c r="K1940" s="1">
        <f>IF(B1940="North",28.6,
IF(B1940="South",13,
IF(B1940="East",22.6,
IF(B1940="West",19,
23.5))))</f>
        <v>22.6</v>
      </c>
      <c r="L1940" s="1">
        <f>IF(B1940="North",77.2,
IF(B1940="South",80.2,
IF(B1940="East",88.4,
IF(B1940="West",72.8,
78.9))))</f>
        <v>88.4</v>
      </c>
    </row>
    <row r="1941" spans="1:12" x14ac:dyDescent="0.25">
      <c r="A1941" s="5">
        <v>45528</v>
      </c>
      <c r="B1941" s="1" t="s">
        <v>10</v>
      </c>
      <c r="C1941" s="1" t="s">
        <v>23</v>
      </c>
      <c r="D1941" s="1" t="s">
        <v>26</v>
      </c>
      <c r="E1941" s="10">
        <v>7</v>
      </c>
      <c r="F1941" s="10">
        <v>1707</v>
      </c>
      <c r="G1941" s="1" t="s">
        <v>34</v>
      </c>
      <c r="H1941" s="10">
        <f t="shared" si="62"/>
        <v>11949</v>
      </c>
      <c r="I1941" s="7">
        <v>8471.3316608056793</v>
      </c>
      <c r="J1941" s="7">
        <f t="shared" si="63"/>
        <v>3477.6683391943207</v>
      </c>
      <c r="K1941" s="1">
        <f>IF(B1941="North",28.6,
IF(B1941="South",13,
IF(B1941="East",22.6,
IF(B1941="West",19,
23.5))))</f>
        <v>28.6</v>
      </c>
      <c r="L1941" s="1">
        <f>IF(B1941="North",77.2,
IF(B1941="South",80.2,
IF(B1941="East",88.4,
IF(B1941="West",72.8,
78.9))))</f>
        <v>77.2</v>
      </c>
    </row>
    <row r="1942" spans="1:12" x14ac:dyDescent="0.25">
      <c r="A1942" s="5">
        <v>45309</v>
      </c>
      <c r="B1942" s="1" t="s">
        <v>12</v>
      </c>
      <c r="C1942" s="1" t="s">
        <v>20</v>
      </c>
      <c r="D1942" s="1" t="s">
        <v>28</v>
      </c>
      <c r="E1942" s="10">
        <v>4</v>
      </c>
      <c r="F1942" s="10">
        <v>937</v>
      </c>
      <c r="G1942" s="1" t="s">
        <v>33</v>
      </c>
      <c r="H1942" s="10">
        <f t="shared" si="62"/>
        <v>3748</v>
      </c>
      <c r="I1942" s="7">
        <v>3213.8326583466078</v>
      </c>
      <c r="J1942" s="7">
        <f t="shared" si="63"/>
        <v>534.16734165339221</v>
      </c>
      <c r="K1942" s="1">
        <f>IF(B1942="North",28.6,
IF(B1942="South",13,
IF(B1942="East",22.6,
IF(B1942="West",19,
23.5))))</f>
        <v>22.6</v>
      </c>
      <c r="L1942" s="1">
        <f>IF(B1942="North",77.2,
IF(B1942="South",80.2,
IF(B1942="East",88.4,
IF(B1942="West",72.8,
78.9))))</f>
        <v>88.4</v>
      </c>
    </row>
    <row r="1943" spans="1:12" x14ac:dyDescent="0.25">
      <c r="A1943" s="5">
        <v>45331</v>
      </c>
      <c r="B1943" s="1" t="s">
        <v>10</v>
      </c>
      <c r="C1943" s="1" t="s">
        <v>18</v>
      </c>
      <c r="D1943" s="1" t="s">
        <v>28</v>
      </c>
      <c r="E1943" s="10">
        <v>5</v>
      </c>
      <c r="F1943" s="10">
        <v>129</v>
      </c>
      <c r="G1943" s="1" t="s">
        <v>34</v>
      </c>
      <c r="H1943" s="10">
        <f t="shared" si="62"/>
        <v>645</v>
      </c>
      <c r="I1943" s="7">
        <v>546.57594458625977</v>
      </c>
      <c r="J1943" s="7">
        <f t="shared" si="63"/>
        <v>98.424055413740234</v>
      </c>
      <c r="K1943" s="1">
        <f>IF(B1943="North",28.6,
IF(B1943="South",13,
IF(B1943="East",22.6,
IF(B1943="West",19,
23.5))))</f>
        <v>28.6</v>
      </c>
      <c r="L1943" s="1">
        <f>IF(B1943="North",77.2,
IF(B1943="South",80.2,
IF(B1943="East",88.4,
IF(B1943="West",72.8,
78.9))))</f>
        <v>77.2</v>
      </c>
    </row>
    <row r="1944" spans="1:12" x14ac:dyDescent="0.25">
      <c r="A1944" s="5">
        <v>45312</v>
      </c>
      <c r="B1944" s="1" t="s">
        <v>10</v>
      </c>
      <c r="C1944" s="1" t="s">
        <v>23</v>
      </c>
      <c r="D1944" s="1" t="s">
        <v>25</v>
      </c>
      <c r="E1944" s="10">
        <v>16</v>
      </c>
      <c r="F1944" s="10">
        <v>458</v>
      </c>
      <c r="G1944" s="1" t="s">
        <v>34</v>
      </c>
      <c r="H1944" s="10">
        <f t="shared" si="62"/>
        <v>7328</v>
      </c>
      <c r="I1944" s="7">
        <v>4569.4148279191231</v>
      </c>
      <c r="J1944" s="7">
        <f t="shared" si="63"/>
        <v>2758.5851720808769</v>
      </c>
      <c r="K1944" s="1">
        <f>IF(B1944="North",28.6,
IF(B1944="South",13,
IF(B1944="East",22.6,
IF(B1944="West",19,
23.5))))</f>
        <v>28.6</v>
      </c>
      <c r="L1944" s="1">
        <f>IF(B1944="North",77.2,
IF(B1944="South",80.2,
IF(B1944="East",88.4,
IF(B1944="West",72.8,
78.9))))</f>
        <v>77.2</v>
      </c>
    </row>
    <row r="1945" spans="1:12" x14ac:dyDescent="0.25">
      <c r="A1945" s="5">
        <v>45516</v>
      </c>
      <c r="B1945" s="1" t="s">
        <v>13</v>
      </c>
      <c r="C1945" s="1" t="s">
        <v>23</v>
      </c>
      <c r="D1945" s="1" t="s">
        <v>25</v>
      </c>
      <c r="E1945" s="10">
        <v>3</v>
      </c>
      <c r="F1945" s="10">
        <v>1411</v>
      </c>
      <c r="G1945" s="1" t="s">
        <v>34</v>
      </c>
      <c r="H1945" s="10">
        <f t="shared" si="62"/>
        <v>4233</v>
      </c>
      <c r="I1945" s="7">
        <v>3279.645950581431</v>
      </c>
      <c r="J1945" s="7">
        <f t="shared" si="63"/>
        <v>953.35404941856905</v>
      </c>
      <c r="K1945" s="1">
        <f>IF(B1945="North",28.6,
IF(B1945="South",13,
IF(B1945="East",22.6,
IF(B1945="West",19,
23.5))))</f>
        <v>13</v>
      </c>
      <c r="L1945" s="1">
        <f>IF(B1945="North",77.2,
IF(B1945="South",80.2,
IF(B1945="East",88.4,
IF(B1945="West",72.8,
78.9))))</f>
        <v>80.2</v>
      </c>
    </row>
    <row r="1946" spans="1:12" x14ac:dyDescent="0.25">
      <c r="A1946" s="5">
        <v>45646</v>
      </c>
      <c r="B1946" s="1" t="s">
        <v>13</v>
      </c>
      <c r="C1946" s="1" t="s">
        <v>21</v>
      </c>
      <c r="D1946" s="1" t="s">
        <v>29</v>
      </c>
      <c r="E1946" s="10">
        <v>18</v>
      </c>
      <c r="F1946" s="10">
        <v>185</v>
      </c>
      <c r="G1946" s="1" t="s">
        <v>35</v>
      </c>
      <c r="H1946" s="10">
        <f t="shared" si="62"/>
        <v>3330</v>
      </c>
      <c r="I1946" s="7">
        <v>2637.358904693152</v>
      </c>
      <c r="J1946" s="7">
        <f t="shared" si="63"/>
        <v>692.641095306848</v>
      </c>
      <c r="K1946" s="1">
        <f>IF(B1946="North",28.6,
IF(B1946="South",13,
IF(B1946="East",22.6,
IF(B1946="West",19,
23.5))))</f>
        <v>13</v>
      </c>
      <c r="L1946" s="1">
        <f>IF(B1946="North",77.2,
IF(B1946="South",80.2,
IF(B1946="East",88.4,
IF(B1946="West",72.8,
78.9))))</f>
        <v>80.2</v>
      </c>
    </row>
    <row r="1947" spans="1:12" x14ac:dyDescent="0.25">
      <c r="A1947" s="5">
        <v>45573</v>
      </c>
      <c r="B1947" s="1" t="s">
        <v>13</v>
      </c>
      <c r="C1947" s="1" t="s">
        <v>18</v>
      </c>
      <c r="D1947" s="1" t="s">
        <v>27</v>
      </c>
      <c r="E1947" s="10">
        <v>14</v>
      </c>
      <c r="F1947" s="10">
        <v>1357</v>
      </c>
      <c r="G1947" s="1" t="s">
        <v>34</v>
      </c>
      <c r="H1947" s="10">
        <f t="shared" si="62"/>
        <v>18998</v>
      </c>
      <c r="I1947" s="7">
        <v>11403.686042548419</v>
      </c>
      <c r="J1947" s="7">
        <f t="shared" si="63"/>
        <v>7594.3139574515808</v>
      </c>
      <c r="K1947" s="1">
        <f>IF(B1947="North",28.6,
IF(B1947="South",13,
IF(B1947="East",22.6,
IF(B1947="West",19,
23.5))))</f>
        <v>13</v>
      </c>
      <c r="L1947" s="1">
        <f>IF(B1947="North",77.2,
IF(B1947="South",80.2,
IF(B1947="East",88.4,
IF(B1947="West",72.8,
78.9))))</f>
        <v>80.2</v>
      </c>
    </row>
    <row r="1948" spans="1:12" x14ac:dyDescent="0.25">
      <c r="A1948" s="5">
        <v>45299</v>
      </c>
      <c r="B1948" s="1" t="s">
        <v>11</v>
      </c>
      <c r="C1948" s="1" t="s">
        <v>20</v>
      </c>
      <c r="D1948" s="1" t="s">
        <v>31</v>
      </c>
      <c r="E1948" s="10">
        <v>15</v>
      </c>
      <c r="F1948" s="10">
        <v>846</v>
      </c>
      <c r="G1948" s="1" t="s">
        <v>33</v>
      </c>
      <c r="H1948" s="10">
        <f t="shared" si="62"/>
        <v>12690</v>
      </c>
      <c r="I1948" s="7">
        <v>11344.549039402429</v>
      </c>
      <c r="J1948" s="7">
        <f t="shared" si="63"/>
        <v>1345.4509605975709</v>
      </c>
      <c r="K1948" s="1">
        <f>IF(B1948="North",28.6,
IF(B1948="South",13,
IF(B1948="East",22.6,
IF(B1948="West",19,
23.5))))</f>
        <v>19</v>
      </c>
      <c r="L1948" s="1">
        <f>IF(B1948="North",77.2,
IF(B1948="South",80.2,
IF(B1948="East",88.4,
IF(B1948="West",72.8,
78.9))))</f>
        <v>72.8</v>
      </c>
    </row>
    <row r="1949" spans="1:12" x14ac:dyDescent="0.25">
      <c r="A1949" s="5">
        <v>45391</v>
      </c>
      <c r="B1949" s="1" t="s">
        <v>11</v>
      </c>
      <c r="C1949" s="1" t="s">
        <v>19</v>
      </c>
      <c r="D1949" s="1" t="s">
        <v>29</v>
      </c>
      <c r="E1949" s="10">
        <v>17</v>
      </c>
      <c r="F1949" s="10">
        <v>412</v>
      </c>
      <c r="G1949" s="1" t="s">
        <v>35</v>
      </c>
      <c r="H1949" s="10">
        <f t="shared" si="62"/>
        <v>7004</v>
      </c>
      <c r="I1949" s="7">
        <v>5056.6797883813742</v>
      </c>
      <c r="J1949" s="7">
        <f t="shared" si="63"/>
        <v>1947.3202116186258</v>
      </c>
      <c r="K1949" s="1">
        <f>IF(B1949="North",28.6,
IF(B1949="South",13,
IF(B1949="East",22.6,
IF(B1949="West",19,
23.5))))</f>
        <v>19</v>
      </c>
      <c r="L1949" s="1">
        <f>IF(B1949="North",77.2,
IF(B1949="South",80.2,
IF(B1949="East",88.4,
IF(B1949="West",72.8,
78.9))))</f>
        <v>72.8</v>
      </c>
    </row>
    <row r="1950" spans="1:12" x14ac:dyDescent="0.25">
      <c r="A1950" s="5">
        <v>45531</v>
      </c>
      <c r="B1950" s="1" t="s">
        <v>13</v>
      </c>
      <c r="C1950" s="1" t="s">
        <v>17</v>
      </c>
      <c r="D1950" s="1" t="s">
        <v>31</v>
      </c>
      <c r="E1950" s="10">
        <v>1</v>
      </c>
      <c r="F1950" s="10">
        <v>464</v>
      </c>
      <c r="G1950" s="1" t="s">
        <v>33</v>
      </c>
      <c r="H1950" s="10">
        <f t="shared" si="62"/>
        <v>464</v>
      </c>
      <c r="I1950" s="7">
        <v>350.41417425560252</v>
      </c>
      <c r="J1950" s="7">
        <f t="shared" si="63"/>
        <v>113.58582574439748</v>
      </c>
      <c r="K1950" s="1">
        <f>IF(B1950="North",28.6,
IF(B1950="South",13,
IF(B1950="East",22.6,
IF(B1950="West",19,
23.5))))</f>
        <v>13</v>
      </c>
      <c r="L1950" s="1">
        <f>IF(B1950="North",77.2,
IF(B1950="South",80.2,
IF(B1950="East",88.4,
IF(B1950="West",72.8,
78.9))))</f>
        <v>80.2</v>
      </c>
    </row>
    <row r="1951" spans="1:12" x14ac:dyDescent="0.25">
      <c r="A1951" s="5">
        <v>45378</v>
      </c>
      <c r="B1951" s="1" t="s">
        <v>11</v>
      </c>
      <c r="C1951" s="1" t="s">
        <v>20</v>
      </c>
      <c r="D1951" s="1" t="s">
        <v>28</v>
      </c>
      <c r="E1951" s="10">
        <v>17</v>
      </c>
      <c r="F1951" s="10">
        <v>1900</v>
      </c>
      <c r="G1951" s="1" t="s">
        <v>33</v>
      </c>
      <c r="H1951" s="10">
        <f t="shared" si="62"/>
        <v>32300</v>
      </c>
      <c r="I1951" s="7">
        <v>21267.65153319437</v>
      </c>
      <c r="J1951" s="7">
        <f t="shared" si="63"/>
        <v>11032.34846680563</v>
      </c>
      <c r="K1951" s="1">
        <f>IF(B1951="North",28.6,
IF(B1951="South",13,
IF(B1951="East",22.6,
IF(B1951="West",19,
23.5))))</f>
        <v>19</v>
      </c>
      <c r="L1951" s="1">
        <f>IF(B1951="North",77.2,
IF(B1951="South",80.2,
IF(B1951="East",88.4,
IF(B1951="West",72.8,
78.9))))</f>
        <v>72.8</v>
      </c>
    </row>
    <row r="1952" spans="1:12" x14ac:dyDescent="0.25">
      <c r="A1952" s="5">
        <v>45589</v>
      </c>
      <c r="B1952" s="1" t="s">
        <v>12</v>
      </c>
      <c r="C1952" s="1" t="s">
        <v>40</v>
      </c>
      <c r="D1952" s="1" t="s">
        <v>26</v>
      </c>
      <c r="E1952" s="10">
        <v>11</v>
      </c>
      <c r="F1952" s="10">
        <v>1922</v>
      </c>
      <c r="G1952" s="1" t="s">
        <v>33</v>
      </c>
      <c r="H1952" s="10">
        <f t="shared" si="62"/>
        <v>21142</v>
      </c>
      <c r="I1952" s="7">
        <v>16560.012169760979</v>
      </c>
      <c r="J1952" s="7">
        <f t="shared" si="63"/>
        <v>4581.9878302390207</v>
      </c>
      <c r="K1952" s="1">
        <f>IF(B1952="North",28.6,
IF(B1952="South",13,
IF(B1952="East",22.6,
IF(B1952="West",19,
23.5))))</f>
        <v>22.6</v>
      </c>
      <c r="L1952" s="1">
        <f>IF(B1952="North",77.2,
IF(B1952="South",80.2,
IF(B1952="East",88.4,
IF(B1952="West",72.8,
78.9))))</f>
        <v>88.4</v>
      </c>
    </row>
    <row r="1953" spans="1:12" x14ac:dyDescent="0.25">
      <c r="A1953" s="5">
        <v>45305</v>
      </c>
      <c r="B1953" s="1" t="s">
        <v>12</v>
      </c>
      <c r="C1953" s="1" t="s">
        <v>22</v>
      </c>
      <c r="D1953" s="1" t="s">
        <v>28</v>
      </c>
      <c r="E1953" s="10">
        <v>17</v>
      </c>
      <c r="F1953" s="10">
        <v>1962</v>
      </c>
      <c r="G1953" s="1" t="s">
        <v>35</v>
      </c>
      <c r="H1953" s="10">
        <f t="shared" si="62"/>
        <v>33354</v>
      </c>
      <c r="I1953" s="7">
        <v>28123.624505964519</v>
      </c>
      <c r="J1953" s="7">
        <f t="shared" si="63"/>
        <v>5230.3754940354811</v>
      </c>
      <c r="K1953" s="1">
        <f>IF(B1953="North",28.6,
IF(B1953="South",13,
IF(B1953="East",22.6,
IF(B1953="West",19,
23.5))))</f>
        <v>22.6</v>
      </c>
      <c r="L1953" s="1">
        <f>IF(B1953="North",77.2,
IF(B1953="South",80.2,
IF(B1953="East",88.4,
IF(B1953="West",72.8,
78.9))))</f>
        <v>88.4</v>
      </c>
    </row>
    <row r="1954" spans="1:12" x14ac:dyDescent="0.25">
      <c r="A1954" s="5">
        <v>45625</v>
      </c>
      <c r="B1954" s="1" t="s">
        <v>11</v>
      </c>
      <c r="C1954" s="1" t="s">
        <v>20</v>
      </c>
      <c r="D1954" s="1" t="s">
        <v>26</v>
      </c>
      <c r="E1954" s="10">
        <v>14</v>
      </c>
      <c r="F1954" s="10">
        <v>1004</v>
      </c>
      <c r="G1954" s="1" t="s">
        <v>33</v>
      </c>
      <c r="H1954" s="10">
        <f t="shared" si="62"/>
        <v>14056</v>
      </c>
      <c r="I1954" s="7">
        <v>10904.19084343095</v>
      </c>
      <c r="J1954" s="7">
        <f t="shared" si="63"/>
        <v>3151.8091565690502</v>
      </c>
      <c r="K1954" s="1">
        <f>IF(B1954="North",28.6,
IF(B1954="South",13,
IF(B1954="East",22.6,
IF(B1954="West",19,
23.5))))</f>
        <v>19</v>
      </c>
      <c r="L1954" s="1">
        <f>IF(B1954="North",77.2,
IF(B1954="South",80.2,
IF(B1954="East",88.4,
IF(B1954="West",72.8,
78.9))))</f>
        <v>72.8</v>
      </c>
    </row>
    <row r="1955" spans="1:12" x14ac:dyDescent="0.25">
      <c r="A1955" s="5">
        <v>45293</v>
      </c>
      <c r="B1955" s="1" t="s">
        <v>11</v>
      </c>
      <c r="C1955" s="1" t="s">
        <v>18</v>
      </c>
      <c r="D1955" s="1" t="s">
        <v>25</v>
      </c>
      <c r="E1955" s="10">
        <v>19</v>
      </c>
      <c r="F1955" s="10">
        <v>1392</v>
      </c>
      <c r="G1955" s="1" t="s">
        <v>34</v>
      </c>
      <c r="H1955" s="10">
        <f t="shared" si="62"/>
        <v>26448</v>
      </c>
      <c r="I1955" s="7">
        <v>22121.385267412159</v>
      </c>
      <c r="J1955" s="7">
        <f t="shared" si="63"/>
        <v>4326.614732587841</v>
      </c>
      <c r="K1955" s="1">
        <f>IF(B1955="North",28.6,
IF(B1955="South",13,
IF(B1955="East",22.6,
IF(B1955="West",19,
23.5))))</f>
        <v>19</v>
      </c>
      <c r="L1955" s="1">
        <f>IF(B1955="North",77.2,
IF(B1955="South",80.2,
IF(B1955="East",88.4,
IF(B1955="West",72.8,
78.9))))</f>
        <v>72.8</v>
      </c>
    </row>
    <row r="1956" spans="1:12" x14ac:dyDescent="0.25">
      <c r="A1956" s="5">
        <v>45584</v>
      </c>
      <c r="B1956" s="1" t="s">
        <v>12</v>
      </c>
      <c r="C1956" s="1" t="s">
        <v>22</v>
      </c>
      <c r="D1956" s="1" t="s">
        <v>36</v>
      </c>
      <c r="E1956" s="10">
        <v>7</v>
      </c>
      <c r="F1956" s="10">
        <v>797</v>
      </c>
      <c r="G1956" s="1" t="s">
        <v>35</v>
      </c>
      <c r="H1956" s="10">
        <f t="shared" si="62"/>
        <v>5579</v>
      </c>
      <c r="I1956" s="7">
        <v>4571.0553938539961</v>
      </c>
      <c r="J1956" s="7">
        <f t="shared" si="63"/>
        <v>1007.9446061460039</v>
      </c>
      <c r="K1956" s="1">
        <f>IF(B1956="North",28.6,
IF(B1956="South",13,
IF(B1956="East",22.6,
IF(B1956="West",19,
23.5))))</f>
        <v>22.6</v>
      </c>
      <c r="L1956" s="1">
        <f>IF(B1956="North",77.2,
IF(B1956="South",80.2,
IF(B1956="East",88.4,
IF(B1956="West",72.8,
78.9))))</f>
        <v>88.4</v>
      </c>
    </row>
    <row r="1957" spans="1:12" x14ac:dyDescent="0.25">
      <c r="A1957" s="5">
        <v>45616</v>
      </c>
      <c r="B1957" s="1" t="s">
        <v>10</v>
      </c>
      <c r="C1957" s="1" t="s">
        <v>17</v>
      </c>
      <c r="D1957" s="1" t="s">
        <v>25</v>
      </c>
      <c r="E1957" s="10">
        <v>13</v>
      </c>
      <c r="F1957" s="10">
        <v>230</v>
      </c>
      <c r="G1957" s="1" t="s">
        <v>33</v>
      </c>
      <c r="H1957" s="10">
        <f t="shared" si="62"/>
        <v>2990</v>
      </c>
      <c r="I1957" s="7">
        <v>2007.1790569398429</v>
      </c>
      <c r="J1957" s="7">
        <f t="shared" si="63"/>
        <v>982.82094306015711</v>
      </c>
      <c r="K1957" s="1">
        <f>IF(B1957="North",28.6,
IF(B1957="South",13,
IF(B1957="East",22.6,
IF(B1957="West",19,
23.5))))</f>
        <v>28.6</v>
      </c>
      <c r="L1957" s="1">
        <f>IF(B1957="North",77.2,
IF(B1957="South",80.2,
IF(B1957="East",88.4,
IF(B1957="West",72.8,
78.9))))</f>
        <v>77.2</v>
      </c>
    </row>
    <row r="1958" spans="1:12" x14ac:dyDescent="0.25">
      <c r="A1958" s="5">
        <v>45332</v>
      </c>
      <c r="B1958" s="1" t="s">
        <v>12</v>
      </c>
      <c r="C1958" s="1" t="s">
        <v>23</v>
      </c>
      <c r="D1958" s="1" t="s">
        <v>26</v>
      </c>
      <c r="E1958" s="10">
        <v>18</v>
      </c>
      <c r="F1958" s="10">
        <v>902</v>
      </c>
      <c r="G1958" s="1" t="s">
        <v>34</v>
      </c>
      <c r="H1958" s="10">
        <f t="shared" si="62"/>
        <v>16236</v>
      </c>
      <c r="I1958" s="7">
        <v>11864.35718647447</v>
      </c>
      <c r="J1958" s="7">
        <f t="shared" si="63"/>
        <v>4371.6428135255301</v>
      </c>
      <c r="K1958" s="1">
        <f>IF(B1958="North",28.6,
IF(B1958="South",13,
IF(B1958="East",22.6,
IF(B1958="West",19,
23.5))))</f>
        <v>22.6</v>
      </c>
      <c r="L1958" s="1">
        <f>IF(B1958="North",77.2,
IF(B1958="South",80.2,
IF(B1958="East",88.4,
IF(B1958="West",72.8,
78.9))))</f>
        <v>88.4</v>
      </c>
    </row>
    <row r="1959" spans="1:12" x14ac:dyDescent="0.25">
      <c r="A1959" s="5">
        <v>45609</v>
      </c>
      <c r="B1959" s="1" t="s">
        <v>12</v>
      </c>
      <c r="C1959" s="1" t="s">
        <v>21</v>
      </c>
      <c r="D1959" s="1" t="s">
        <v>28</v>
      </c>
      <c r="E1959" s="10">
        <v>14</v>
      </c>
      <c r="F1959" s="10">
        <v>888</v>
      </c>
      <c r="G1959" s="1" t="s">
        <v>35</v>
      </c>
      <c r="H1959" s="10">
        <f t="shared" si="62"/>
        <v>12432</v>
      </c>
      <c r="I1959" s="7">
        <v>8013.51882819403</v>
      </c>
      <c r="J1959" s="7">
        <f t="shared" si="63"/>
        <v>4418.48117180597</v>
      </c>
      <c r="K1959" s="1">
        <f>IF(B1959="North",28.6,
IF(B1959="South",13,
IF(B1959="East",22.6,
IF(B1959="West",19,
23.5))))</f>
        <v>22.6</v>
      </c>
      <c r="L1959" s="1">
        <f>IF(B1959="North",77.2,
IF(B1959="South",80.2,
IF(B1959="East",88.4,
IF(B1959="West",72.8,
78.9))))</f>
        <v>88.4</v>
      </c>
    </row>
    <row r="1960" spans="1:12" x14ac:dyDescent="0.25">
      <c r="A1960" s="5">
        <v>45607</v>
      </c>
      <c r="B1960" s="1" t="s">
        <v>11</v>
      </c>
      <c r="C1960" s="1" t="s">
        <v>21</v>
      </c>
      <c r="D1960" s="1" t="s">
        <v>25</v>
      </c>
      <c r="E1960" s="10">
        <v>1</v>
      </c>
      <c r="F1960" s="10">
        <v>1955</v>
      </c>
      <c r="G1960" s="1" t="s">
        <v>35</v>
      </c>
      <c r="H1960" s="10">
        <f t="shared" si="62"/>
        <v>1955</v>
      </c>
      <c r="I1960" s="7">
        <v>1197.595390731547</v>
      </c>
      <c r="J1960" s="7">
        <f t="shared" si="63"/>
        <v>757.40460926845299</v>
      </c>
      <c r="K1960" s="1">
        <f>IF(B1960="North",28.6,
IF(B1960="South",13,
IF(B1960="East",22.6,
IF(B1960="West",19,
23.5))))</f>
        <v>19</v>
      </c>
      <c r="L1960" s="1">
        <f>IF(B1960="North",77.2,
IF(B1960="South",80.2,
IF(B1960="East",88.4,
IF(B1960="West",72.8,
78.9))))</f>
        <v>72.8</v>
      </c>
    </row>
    <row r="1961" spans="1:12" x14ac:dyDescent="0.25">
      <c r="A1961" s="5">
        <v>45402</v>
      </c>
      <c r="B1961" s="1" t="s">
        <v>12</v>
      </c>
      <c r="C1961" s="1" t="s">
        <v>17</v>
      </c>
      <c r="D1961" s="1" t="s">
        <v>30</v>
      </c>
      <c r="E1961" s="10">
        <v>7</v>
      </c>
      <c r="F1961" s="10">
        <v>450</v>
      </c>
      <c r="G1961" s="1" t="s">
        <v>33</v>
      </c>
      <c r="H1961" s="10">
        <f t="shared" si="62"/>
        <v>3150</v>
      </c>
      <c r="I1961" s="7">
        <v>1949.6001627246039</v>
      </c>
      <c r="J1961" s="7">
        <f t="shared" si="63"/>
        <v>1200.3998372753961</v>
      </c>
      <c r="K1961" s="1">
        <f>IF(B1961="North",28.6,
IF(B1961="South",13,
IF(B1961="East",22.6,
IF(B1961="West",19,
23.5))))</f>
        <v>22.6</v>
      </c>
      <c r="L1961" s="1">
        <f>IF(B1961="North",77.2,
IF(B1961="South",80.2,
IF(B1961="East",88.4,
IF(B1961="West",72.8,
78.9))))</f>
        <v>88.4</v>
      </c>
    </row>
    <row r="1962" spans="1:12" x14ac:dyDescent="0.25">
      <c r="A1962" s="5">
        <v>45305</v>
      </c>
      <c r="B1962" s="1" t="s">
        <v>11</v>
      </c>
      <c r="C1962" s="1" t="s">
        <v>17</v>
      </c>
      <c r="D1962" s="1" t="s">
        <v>31</v>
      </c>
      <c r="E1962" s="10">
        <v>8</v>
      </c>
      <c r="F1962" s="10">
        <v>279</v>
      </c>
      <c r="G1962" s="1" t="s">
        <v>33</v>
      </c>
      <c r="H1962" s="10">
        <f t="shared" si="62"/>
        <v>2232</v>
      </c>
      <c r="I1962" s="7">
        <v>1970.297953042887</v>
      </c>
      <c r="J1962" s="7">
        <f t="shared" si="63"/>
        <v>261.702046957113</v>
      </c>
      <c r="K1962" s="1">
        <f>IF(B1962="North",28.6,
IF(B1962="South",13,
IF(B1962="East",22.6,
IF(B1962="West",19,
23.5))))</f>
        <v>19</v>
      </c>
      <c r="L1962" s="1">
        <f>IF(B1962="North",77.2,
IF(B1962="South",80.2,
IF(B1962="East",88.4,
IF(B1962="West",72.8,
78.9))))</f>
        <v>72.8</v>
      </c>
    </row>
    <row r="1963" spans="1:12" x14ac:dyDescent="0.25">
      <c r="A1963" s="5">
        <v>45522</v>
      </c>
      <c r="B1963" s="1" t="s">
        <v>11</v>
      </c>
      <c r="C1963" s="1" t="s">
        <v>18</v>
      </c>
      <c r="D1963" s="1" t="s">
        <v>32</v>
      </c>
      <c r="E1963" s="10">
        <v>18</v>
      </c>
      <c r="F1963" s="10">
        <v>1925</v>
      </c>
      <c r="G1963" s="1" t="s">
        <v>34</v>
      </c>
      <c r="H1963" s="10">
        <f t="shared" si="62"/>
        <v>34650</v>
      </c>
      <c r="I1963" s="7">
        <v>31024.266887701859</v>
      </c>
      <c r="J1963" s="7">
        <f t="shared" si="63"/>
        <v>3625.7331122981414</v>
      </c>
      <c r="K1963" s="1">
        <f>IF(B1963="North",28.6,
IF(B1963="South",13,
IF(B1963="East",22.6,
IF(B1963="West",19,
23.5))))</f>
        <v>19</v>
      </c>
      <c r="L1963" s="1">
        <f>IF(B1963="North",77.2,
IF(B1963="South",80.2,
IF(B1963="East",88.4,
IF(B1963="West",72.8,
78.9))))</f>
        <v>72.8</v>
      </c>
    </row>
    <row r="1964" spans="1:12" x14ac:dyDescent="0.25">
      <c r="A1964" s="5">
        <v>45375</v>
      </c>
      <c r="B1964" s="1" t="s">
        <v>13</v>
      </c>
      <c r="C1964" s="1" t="s">
        <v>24</v>
      </c>
      <c r="D1964" s="1" t="s">
        <v>26</v>
      </c>
      <c r="E1964" s="10">
        <v>9</v>
      </c>
      <c r="F1964" s="10">
        <v>1603</v>
      </c>
      <c r="G1964" s="1" t="s">
        <v>35</v>
      </c>
      <c r="H1964" s="10">
        <f t="shared" si="62"/>
        <v>14427</v>
      </c>
      <c r="I1964" s="7">
        <v>9067.2721525905126</v>
      </c>
      <c r="J1964" s="7">
        <f t="shared" si="63"/>
        <v>5359.7278474094874</v>
      </c>
      <c r="K1964" s="1">
        <f>IF(B1964="North",28.6,
IF(B1964="South",13,
IF(B1964="East",22.6,
IF(B1964="West",19,
23.5))))</f>
        <v>13</v>
      </c>
      <c r="L1964" s="1">
        <f>IF(B1964="North",77.2,
IF(B1964="South",80.2,
IF(B1964="East",88.4,
IF(B1964="West",72.8,
78.9))))</f>
        <v>80.2</v>
      </c>
    </row>
    <row r="1965" spans="1:12" x14ac:dyDescent="0.25">
      <c r="A1965" s="5">
        <v>45421</v>
      </c>
      <c r="B1965" s="1" t="s">
        <v>12</v>
      </c>
      <c r="C1965" s="1" t="s">
        <v>23</v>
      </c>
      <c r="D1965" s="1" t="s">
        <v>26</v>
      </c>
      <c r="E1965" s="10">
        <v>1</v>
      </c>
      <c r="F1965" s="10">
        <v>1286</v>
      </c>
      <c r="G1965" s="1" t="s">
        <v>34</v>
      </c>
      <c r="H1965" s="10">
        <f t="shared" si="62"/>
        <v>1286</v>
      </c>
      <c r="I1965" s="7">
        <v>900.91762728937636</v>
      </c>
      <c r="J1965" s="7">
        <f t="shared" si="63"/>
        <v>385.08237271062364</v>
      </c>
      <c r="K1965" s="1">
        <f>IF(B1965="North",28.6,
IF(B1965="South",13,
IF(B1965="East",22.6,
IF(B1965="West",19,
23.5))))</f>
        <v>22.6</v>
      </c>
      <c r="L1965" s="1">
        <f>IF(B1965="North",77.2,
IF(B1965="South",80.2,
IF(B1965="East",88.4,
IF(B1965="West",72.8,
78.9))))</f>
        <v>88.4</v>
      </c>
    </row>
    <row r="1966" spans="1:12" x14ac:dyDescent="0.25">
      <c r="A1966" s="5">
        <v>45522</v>
      </c>
      <c r="B1966" s="1" t="s">
        <v>10</v>
      </c>
      <c r="C1966" s="1" t="s">
        <v>17</v>
      </c>
      <c r="D1966" s="1" t="s">
        <v>30</v>
      </c>
      <c r="E1966" s="10">
        <v>17</v>
      </c>
      <c r="F1966" s="10">
        <v>1906</v>
      </c>
      <c r="G1966" s="1" t="s">
        <v>33</v>
      </c>
      <c r="H1966" s="10">
        <f t="shared" si="62"/>
        <v>32402</v>
      </c>
      <c r="I1966" s="7">
        <v>20553.43766352463</v>
      </c>
      <c r="J1966" s="7">
        <f t="shared" si="63"/>
        <v>11848.56233647537</v>
      </c>
      <c r="K1966" s="1">
        <f>IF(B1966="North",28.6,
IF(B1966="South",13,
IF(B1966="East",22.6,
IF(B1966="West",19,
23.5))))</f>
        <v>28.6</v>
      </c>
      <c r="L1966" s="1">
        <f>IF(B1966="North",77.2,
IF(B1966="South",80.2,
IF(B1966="East",88.4,
IF(B1966="West",72.8,
78.9))))</f>
        <v>77.2</v>
      </c>
    </row>
    <row r="1967" spans="1:12" x14ac:dyDescent="0.25">
      <c r="A1967" s="5">
        <v>45617</v>
      </c>
      <c r="B1967" s="1" t="s">
        <v>13</v>
      </c>
      <c r="C1967" s="1" t="s">
        <v>20</v>
      </c>
      <c r="D1967" s="1" t="s">
        <v>29</v>
      </c>
      <c r="E1967" s="10">
        <v>19</v>
      </c>
      <c r="F1967" s="10">
        <v>1219</v>
      </c>
      <c r="G1967" s="1" t="s">
        <v>33</v>
      </c>
      <c r="H1967" s="10">
        <f t="shared" si="62"/>
        <v>23161</v>
      </c>
      <c r="I1967" s="7">
        <v>19693.072133414611</v>
      </c>
      <c r="J1967" s="7">
        <f t="shared" si="63"/>
        <v>3467.927866585389</v>
      </c>
      <c r="K1967" s="1">
        <f>IF(B1967="North",28.6,
IF(B1967="South",13,
IF(B1967="East",22.6,
IF(B1967="West",19,
23.5))))</f>
        <v>13</v>
      </c>
      <c r="L1967" s="1">
        <f>IF(B1967="North",77.2,
IF(B1967="South",80.2,
IF(B1967="East",88.4,
IF(B1967="West",72.8,
78.9))))</f>
        <v>80.2</v>
      </c>
    </row>
    <row r="1968" spans="1:12" x14ac:dyDescent="0.25">
      <c r="A1968" s="5">
        <v>45436</v>
      </c>
      <c r="B1968" s="1" t="s">
        <v>11</v>
      </c>
      <c r="C1968" s="1" t="s">
        <v>18</v>
      </c>
      <c r="D1968" s="1" t="s">
        <v>29</v>
      </c>
      <c r="E1968" s="10">
        <v>6</v>
      </c>
      <c r="F1968" s="10">
        <v>873</v>
      </c>
      <c r="G1968" s="1" t="s">
        <v>34</v>
      </c>
      <c r="H1968" s="10">
        <f t="shared" si="62"/>
        <v>5238</v>
      </c>
      <c r="I1968" s="7">
        <v>3922.6812498035379</v>
      </c>
      <c r="J1968" s="7">
        <f t="shared" si="63"/>
        <v>1315.3187501964621</v>
      </c>
      <c r="K1968" s="1">
        <f>IF(B1968="North",28.6,
IF(B1968="South",13,
IF(B1968="East",22.6,
IF(B1968="West",19,
23.5))))</f>
        <v>19</v>
      </c>
      <c r="L1968" s="1">
        <f>IF(B1968="North",77.2,
IF(B1968="South",80.2,
IF(B1968="East",88.4,
IF(B1968="West",72.8,
78.9))))</f>
        <v>72.8</v>
      </c>
    </row>
    <row r="1969" spans="1:12" x14ac:dyDescent="0.25">
      <c r="A1969" s="5">
        <v>45636</v>
      </c>
      <c r="B1969" s="1" t="s">
        <v>11</v>
      </c>
      <c r="C1969" s="1" t="s">
        <v>21</v>
      </c>
      <c r="D1969" s="1" t="s">
        <v>29</v>
      </c>
      <c r="E1969" s="10">
        <v>3</v>
      </c>
      <c r="F1969" s="10">
        <v>609</v>
      </c>
      <c r="G1969" s="1" t="s">
        <v>35</v>
      </c>
      <c r="H1969" s="10">
        <f t="shared" si="62"/>
        <v>1827</v>
      </c>
      <c r="I1969" s="7">
        <v>1436.713568422794</v>
      </c>
      <c r="J1969" s="7">
        <f t="shared" si="63"/>
        <v>390.28643157720603</v>
      </c>
      <c r="K1969" s="1">
        <f>IF(B1969="North",28.6,
IF(B1969="South",13,
IF(B1969="East",22.6,
IF(B1969="West",19,
23.5))))</f>
        <v>19</v>
      </c>
      <c r="L1969" s="1">
        <f>IF(B1969="North",77.2,
IF(B1969="South",80.2,
IF(B1969="East",88.4,
IF(B1969="West",72.8,
78.9))))</f>
        <v>72.8</v>
      </c>
    </row>
    <row r="1970" spans="1:12" x14ac:dyDescent="0.25">
      <c r="A1970" s="5">
        <v>45319</v>
      </c>
      <c r="B1970" s="1" t="s">
        <v>10</v>
      </c>
      <c r="C1970" s="1" t="s">
        <v>19</v>
      </c>
      <c r="D1970" s="1" t="s">
        <v>32</v>
      </c>
      <c r="E1970" s="10">
        <v>5</v>
      </c>
      <c r="F1970" s="10">
        <v>464</v>
      </c>
      <c r="G1970" s="1" t="s">
        <v>35</v>
      </c>
      <c r="H1970" s="10">
        <f t="shared" si="62"/>
        <v>2320</v>
      </c>
      <c r="I1970" s="7">
        <v>1767.7779625515641</v>
      </c>
      <c r="J1970" s="7">
        <f t="shared" si="63"/>
        <v>552.22203744843591</v>
      </c>
      <c r="K1970" s="1">
        <f>IF(B1970="North",28.6,
IF(B1970="South",13,
IF(B1970="East",22.6,
IF(B1970="West",19,
23.5))))</f>
        <v>28.6</v>
      </c>
      <c r="L1970" s="1">
        <f>IF(B1970="North",77.2,
IF(B1970="South",80.2,
IF(B1970="East",88.4,
IF(B1970="West",72.8,
78.9))))</f>
        <v>77.2</v>
      </c>
    </row>
    <row r="1971" spans="1:12" x14ac:dyDescent="0.25">
      <c r="A1971" s="5">
        <v>45357</v>
      </c>
      <c r="B1971" s="1" t="s">
        <v>11</v>
      </c>
      <c r="C1971" s="1" t="s">
        <v>18</v>
      </c>
      <c r="D1971" s="1" t="s">
        <v>27</v>
      </c>
      <c r="E1971" s="10">
        <v>2</v>
      </c>
      <c r="F1971" s="10">
        <v>1080</v>
      </c>
      <c r="G1971" s="1" t="s">
        <v>34</v>
      </c>
      <c r="H1971" s="10">
        <f t="shared" si="62"/>
        <v>2160</v>
      </c>
      <c r="I1971" s="7">
        <v>1756.2443223287839</v>
      </c>
      <c r="J1971" s="7">
        <f t="shared" si="63"/>
        <v>403.75567767121606</v>
      </c>
      <c r="K1971" s="1">
        <f>IF(B1971="North",28.6,
IF(B1971="South",13,
IF(B1971="East",22.6,
IF(B1971="West",19,
23.5))))</f>
        <v>19</v>
      </c>
      <c r="L1971" s="1">
        <f>IF(B1971="North",77.2,
IF(B1971="South",80.2,
IF(B1971="East",88.4,
IF(B1971="West",72.8,
78.9))))</f>
        <v>72.8</v>
      </c>
    </row>
    <row r="1972" spans="1:12" x14ac:dyDescent="0.25">
      <c r="A1972" s="5">
        <v>45454</v>
      </c>
      <c r="B1972" s="1" t="s">
        <v>12</v>
      </c>
      <c r="C1972" s="1" t="s">
        <v>21</v>
      </c>
      <c r="D1972" s="1" t="s">
        <v>30</v>
      </c>
      <c r="E1972" s="10">
        <v>4</v>
      </c>
      <c r="F1972" s="10">
        <v>452</v>
      </c>
      <c r="G1972" s="1" t="s">
        <v>35</v>
      </c>
      <c r="H1972" s="10">
        <f t="shared" si="62"/>
        <v>1808</v>
      </c>
      <c r="I1972" s="7">
        <v>1257.8973287751739</v>
      </c>
      <c r="J1972" s="7">
        <f t="shared" si="63"/>
        <v>550.10267122482605</v>
      </c>
      <c r="K1972" s="1">
        <f>IF(B1972="North",28.6,
IF(B1972="South",13,
IF(B1972="East",22.6,
IF(B1972="West",19,
23.5))))</f>
        <v>22.6</v>
      </c>
      <c r="L1972" s="1">
        <f>IF(B1972="North",77.2,
IF(B1972="South",80.2,
IF(B1972="East",88.4,
IF(B1972="West",72.8,
78.9))))</f>
        <v>88.4</v>
      </c>
    </row>
    <row r="1973" spans="1:12" x14ac:dyDescent="0.25">
      <c r="A1973" s="5">
        <v>45520</v>
      </c>
      <c r="B1973" s="1" t="s">
        <v>13</v>
      </c>
      <c r="C1973" s="1" t="s">
        <v>22</v>
      </c>
      <c r="D1973" s="1" t="s">
        <v>32</v>
      </c>
      <c r="E1973" s="10">
        <v>10</v>
      </c>
      <c r="F1973" s="10">
        <v>899</v>
      </c>
      <c r="G1973" s="1" t="s">
        <v>35</v>
      </c>
      <c r="H1973" s="10">
        <f t="shared" si="62"/>
        <v>8990</v>
      </c>
      <c r="I1973" s="7">
        <v>5764.8195771674973</v>
      </c>
      <c r="J1973" s="7">
        <f t="shared" si="63"/>
        <v>3225.1804228325027</v>
      </c>
      <c r="K1973" s="1">
        <f>IF(B1973="North",28.6,
IF(B1973="South",13,
IF(B1973="East",22.6,
IF(B1973="West",19,
23.5))))</f>
        <v>13</v>
      </c>
      <c r="L1973" s="1">
        <f>IF(B1973="North",77.2,
IF(B1973="South",80.2,
IF(B1973="East",88.4,
IF(B1973="West",72.8,
78.9))))</f>
        <v>80.2</v>
      </c>
    </row>
    <row r="1974" spans="1:12" x14ac:dyDescent="0.25">
      <c r="A1974" s="5">
        <v>45552</v>
      </c>
      <c r="B1974" s="1" t="s">
        <v>11</v>
      </c>
      <c r="C1974" s="1" t="s">
        <v>40</v>
      </c>
      <c r="D1974" s="1" t="s">
        <v>25</v>
      </c>
      <c r="E1974" s="10">
        <v>10</v>
      </c>
      <c r="F1974" s="10">
        <v>1559</v>
      </c>
      <c r="G1974" s="1" t="s">
        <v>34</v>
      </c>
      <c r="H1974" s="10">
        <f t="shared" si="62"/>
        <v>15590</v>
      </c>
      <c r="I1974" s="7">
        <v>9436.4087527668707</v>
      </c>
      <c r="J1974" s="7">
        <f t="shared" si="63"/>
        <v>6153.5912472331293</v>
      </c>
      <c r="K1974" s="1">
        <f>IF(B1974="North",28.6,
IF(B1974="South",13,
IF(B1974="East",22.6,
IF(B1974="West",19,
23.5))))</f>
        <v>19</v>
      </c>
      <c r="L1974" s="1">
        <f>IF(B1974="North",77.2,
IF(B1974="South",80.2,
IF(B1974="East",88.4,
IF(B1974="West",72.8,
78.9))))</f>
        <v>72.8</v>
      </c>
    </row>
    <row r="1975" spans="1:12" x14ac:dyDescent="0.25">
      <c r="A1975" s="5">
        <v>45455</v>
      </c>
      <c r="B1975" s="1" t="s">
        <v>11</v>
      </c>
      <c r="C1975" s="1" t="s">
        <v>21</v>
      </c>
      <c r="D1975" s="1" t="s">
        <v>30</v>
      </c>
      <c r="E1975" s="10">
        <v>11</v>
      </c>
      <c r="F1975" s="10">
        <v>1206</v>
      </c>
      <c r="G1975" s="1" t="s">
        <v>35</v>
      </c>
      <c r="H1975" s="10">
        <f t="shared" si="62"/>
        <v>13266</v>
      </c>
      <c r="I1975" s="7">
        <v>9733.3685581535083</v>
      </c>
      <c r="J1975" s="7">
        <f t="shared" si="63"/>
        <v>3532.6314418464917</v>
      </c>
      <c r="K1975" s="1">
        <f>IF(B1975="North",28.6,
IF(B1975="South",13,
IF(B1975="East",22.6,
IF(B1975="West",19,
23.5))))</f>
        <v>19</v>
      </c>
      <c r="L1975" s="1">
        <f>IF(B1975="North",77.2,
IF(B1975="South",80.2,
IF(B1975="East",88.4,
IF(B1975="West",72.8,
78.9))))</f>
        <v>72.8</v>
      </c>
    </row>
    <row r="1976" spans="1:12" x14ac:dyDescent="0.25">
      <c r="A1976" s="5">
        <v>45592</v>
      </c>
      <c r="B1976" s="1" t="s">
        <v>10</v>
      </c>
      <c r="C1976" s="1" t="s">
        <v>24</v>
      </c>
      <c r="D1976" s="1" t="s">
        <v>26</v>
      </c>
      <c r="E1976" s="10">
        <v>16</v>
      </c>
      <c r="F1976" s="10">
        <v>1348</v>
      </c>
      <c r="G1976" s="1" t="s">
        <v>35</v>
      </c>
      <c r="H1976" s="10">
        <f t="shared" si="62"/>
        <v>21568</v>
      </c>
      <c r="I1976" s="7">
        <v>18814.851888052119</v>
      </c>
      <c r="J1976" s="7">
        <f t="shared" si="63"/>
        <v>2753.1481119478813</v>
      </c>
      <c r="K1976" s="1">
        <f>IF(B1976="North",28.6,
IF(B1976="South",13,
IF(B1976="East",22.6,
IF(B1976="West",19,
23.5))))</f>
        <v>28.6</v>
      </c>
      <c r="L1976" s="1">
        <f>IF(B1976="North",77.2,
IF(B1976="South",80.2,
IF(B1976="East",88.4,
IF(B1976="West",72.8,
78.9))))</f>
        <v>77.2</v>
      </c>
    </row>
    <row r="1977" spans="1:12" x14ac:dyDescent="0.25">
      <c r="A1977" s="5">
        <v>45594</v>
      </c>
      <c r="B1977" s="1" t="s">
        <v>12</v>
      </c>
      <c r="C1977" s="1" t="s">
        <v>18</v>
      </c>
      <c r="D1977" s="1" t="s">
        <v>31</v>
      </c>
      <c r="E1977" s="10">
        <v>17</v>
      </c>
      <c r="F1977" s="10">
        <v>511</v>
      </c>
      <c r="G1977" s="1" t="s">
        <v>34</v>
      </c>
      <c r="H1977" s="10">
        <f t="shared" si="62"/>
        <v>8687</v>
      </c>
      <c r="I1977" s="7">
        <v>6007.7551247137681</v>
      </c>
      <c r="J1977" s="7">
        <f t="shared" si="63"/>
        <v>2679.2448752862319</v>
      </c>
      <c r="K1977" s="1">
        <f>IF(B1977="North",28.6,
IF(B1977="South",13,
IF(B1977="East",22.6,
IF(B1977="West",19,
23.5))))</f>
        <v>22.6</v>
      </c>
      <c r="L1977" s="1">
        <f>IF(B1977="North",77.2,
IF(B1977="South",80.2,
IF(B1977="East",88.4,
IF(B1977="West",72.8,
78.9))))</f>
        <v>88.4</v>
      </c>
    </row>
    <row r="1978" spans="1:12" x14ac:dyDescent="0.25">
      <c r="A1978" s="5">
        <v>45578</v>
      </c>
      <c r="B1978" s="1" t="s">
        <v>36</v>
      </c>
      <c r="C1978" s="1" t="s">
        <v>18</v>
      </c>
      <c r="D1978" s="1" t="s">
        <v>30</v>
      </c>
      <c r="E1978" s="10">
        <v>16</v>
      </c>
      <c r="F1978" s="10">
        <v>834</v>
      </c>
      <c r="G1978" s="1" t="s">
        <v>34</v>
      </c>
      <c r="H1978" s="10">
        <f t="shared" si="62"/>
        <v>13344</v>
      </c>
      <c r="I1978" s="7">
        <v>8790.8543463701262</v>
      </c>
      <c r="J1978" s="7">
        <f t="shared" si="63"/>
        <v>4553.1456536298738</v>
      </c>
      <c r="K1978" s="1">
        <f>IF(B1978="North",28.6,
IF(B1978="South",13,
IF(B1978="East",22.6,
IF(B1978="West",19,
23.5))))</f>
        <v>23.5</v>
      </c>
      <c r="L1978" s="1">
        <f>IF(B1978="North",77.2,
IF(B1978="South",80.2,
IF(B1978="East",88.4,
IF(B1978="West",72.8,
78.9))))</f>
        <v>78.900000000000006</v>
      </c>
    </row>
    <row r="1979" spans="1:12" x14ac:dyDescent="0.25">
      <c r="A1979" s="5">
        <v>45301</v>
      </c>
      <c r="B1979" s="1" t="s">
        <v>10</v>
      </c>
      <c r="C1979" s="1" t="s">
        <v>23</v>
      </c>
      <c r="D1979" s="1" t="s">
        <v>27</v>
      </c>
      <c r="E1979" s="10">
        <v>7</v>
      </c>
      <c r="F1979" s="10">
        <v>1080</v>
      </c>
      <c r="G1979" s="1" t="s">
        <v>34</v>
      </c>
      <c r="H1979" s="10">
        <f t="shared" si="62"/>
        <v>7560</v>
      </c>
      <c r="I1979" s="7">
        <v>6636.2649484884396</v>
      </c>
      <c r="J1979" s="7">
        <f t="shared" si="63"/>
        <v>923.73505151156041</v>
      </c>
      <c r="K1979" s="1">
        <f>IF(B1979="North",28.6,
IF(B1979="South",13,
IF(B1979="East",22.6,
IF(B1979="West",19,
23.5))))</f>
        <v>28.6</v>
      </c>
      <c r="L1979" s="1">
        <f>IF(B1979="North",77.2,
IF(B1979="South",80.2,
IF(B1979="East",88.4,
IF(B1979="West",72.8,
78.9))))</f>
        <v>77.2</v>
      </c>
    </row>
    <row r="1980" spans="1:12" x14ac:dyDescent="0.25">
      <c r="A1980" s="5">
        <v>45486</v>
      </c>
      <c r="B1980" s="1" t="s">
        <v>11</v>
      </c>
      <c r="C1980" s="1" t="s">
        <v>17</v>
      </c>
      <c r="D1980" s="1" t="s">
        <v>28</v>
      </c>
      <c r="E1980" s="10">
        <v>16</v>
      </c>
      <c r="F1980" s="10">
        <v>217</v>
      </c>
      <c r="G1980" s="1" t="s">
        <v>33</v>
      </c>
      <c r="H1980" s="10">
        <f t="shared" si="62"/>
        <v>3472</v>
      </c>
      <c r="I1980" s="7">
        <v>2193.0353021233482</v>
      </c>
      <c r="J1980" s="7">
        <f t="shared" si="63"/>
        <v>1278.9646978766518</v>
      </c>
      <c r="K1980" s="1">
        <f>IF(B1980="North",28.6,
IF(B1980="South",13,
IF(B1980="East",22.6,
IF(B1980="West",19,
23.5))))</f>
        <v>19</v>
      </c>
      <c r="L1980" s="1">
        <f>IF(B1980="North",77.2,
IF(B1980="South",80.2,
IF(B1980="East",88.4,
IF(B1980="West",72.8,
78.9))))</f>
        <v>72.8</v>
      </c>
    </row>
    <row r="1981" spans="1:12" x14ac:dyDescent="0.25">
      <c r="A1981" s="5">
        <v>45409</v>
      </c>
      <c r="B1981" s="1" t="s">
        <v>10</v>
      </c>
      <c r="C1981" s="1" t="s">
        <v>23</v>
      </c>
      <c r="D1981" s="1" t="s">
        <v>25</v>
      </c>
      <c r="E1981" s="10">
        <v>3</v>
      </c>
      <c r="F1981" s="10">
        <v>581</v>
      </c>
      <c r="G1981" s="1" t="s">
        <v>34</v>
      </c>
      <c r="H1981" s="10">
        <f t="shared" si="62"/>
        <v>1743</v>
      </c>
      <c r="I1981" s="7">
        <v>1072.8867603731269</v>
      </c>
      <c r="J1981" s="7">
        <f t="shared" si="63"/>
        <v>670.11323962687311</v>
      </c>
      <c r="K1981" s="1">
        <f>IF(B1981="North",28.6,
IF(B1981="South",13,
IF(B1981="East",22.6,
IF(B1981="West",19,
23.5))))</f>
        <v>28.6</v>
      </c>
      <c r="L1981" s="1">
        <f>IF(B1981="North",77.2,
IF(B1981="South",80.2,
IF(B1981="East",88.4,
IF(B1981="West",72.8,
78.9))))</f>
        <v>77.2</v>
      </c>
    </row>
    <row r="1982" spans="1:12" x14ac:dyDescent="0.25">
      <c r="A1982" s="5">
        <v>45561</v>
      </c>
      <c r="B1982" s="1" t="s">
        <v>10</v>
      </c>
      <c r="C1982" s="1" t="s">
        <v>18</v>
      </c>
      <c r="D1982" s="1" t="s">
        <v>32</v>
      </c>
      <c r="E1982" s="10">
        <v>16</v>
      </c>
      <c r="F1982" s="10">
        <v>291</v>
      </c>
      <c r="G1982" s="1" t="s">
        <v>34</v>
      </c>
      <c r="H1982" s="10">
        <f t="shared" si="62"/>
        <v>4656</v>
      </c>
      <c r="I1982" s="7">
        <v>4021.964322777756</v>
      </c>
      <c r="J1982" s="7">
        <f t="shared" si="63"/>
        <v>634.03567722224398</v>
      </c>
      <c r="K1982" s="1">
        <f>IF(B1982="North",28.6,
IF(B1982="South",13,
IF(B1982="East",22.6,
IF(B1982="West",19,
23.5))))</f>
        <v>28.6</v>
      </c>
      <c r="L1982" s="1">
        <f>IF(B1982="North",77.2,
IF(B1982="South",80.2,
IF(B1982="East",88.4,
IF(B1982="West",72.8,
78.9))))</f>
        <v>77.2</v>
      </c>
    </row>
    <row r="1983" spans="1:12" x14ac:dyDescent="0.25">
      <c r="A1983" s="5">
        <v>45371</v>
      </c>
      <c r="B1983" s="1" t="s">
        <v>36</v>
      </c>
      <c r="C1983" s="1" t="s">
        <v>17</v>
      </c>
      <c r="D1983" s="1" t="s">
        <v>25</v>
      </c>
      <c r="E1983" s="10">
        <v>8</v>
      </c>
      <c r="F1983" s="10">
        <v>690</v>
      </c>
      <c r="G1983" s="1" t="s">
        <v>33</v>
      </c>
      <c r="H1983" s="10">
        <f t="shared" si="62"/>
        <v>5520</v>
      </c>
      <c r="I1983" s="7">
        <v>4472.7059365169653</v>
      </c>
      <c r="J1983" s="7">
        <f t="shared" si="63"/>
        <v>1047.2940634830347</v>
      </c>
      <c r="K1983" s="1">
        <f>IF(B1983="North",28.6,
IF(B1983="South",13,
IF(B1983="East",22.6,
IF(B1983="West",19,
23.5))))</f>
        <v>23.5</v>
      </c>
      <c r="L1983" s="1">
        <f>IF(B1983="North",77.2,
IF(B1983="South",80.2,
IF(B1983="East",88.4,
IF(B1983="West",72.8,
78.9))))</f>
        <v>78.900000000000006</v>
      </c>
    </row>
    <row r="1984" spans="1:12" x14ac:dyDescent="0.25">
      <c r="A1984" s="5">
        <v>45384</v>
      </c>
      <c r="B1984" s="1" t="s">
        <v>11</v>
      </c>
      <c r="C1984" s="1" t="s">
        <v>21</v>
      </c>
      <c r="D1984" s="1" t="s">
        <v>25</v>
      </c>
      <c r="E1984" s="10">
        <v>12</v>
      </c>
      <c r="F1984" s="10">
        <v>689</v>
      </c>
      <c r="G1984" s="1" t="s">
        <v>35</v>
      </c>
      <c r="H1984" s="10">
        <f t="shared" si="62"/>
        <v>8268</v>
      </c>
      <c r="I1984" s="7">
        <v>6007.6990500360389</v>
      </c>
      <c r="J1984" s="7">
        <f t="shared" si="63"/>
        <v>2260.3009499639611</v>
      </c>
      <c r="K1984" s="1">
        <f>IF(B1984="North",28.6,
IF(B1984="South",13,
IF(B1984="East",22.6,
IF(B1984="West",19,
23.5))))</f>
        <v>19</v>
      </c>
      <c r="L1984" s="1">
        <f>IF(B1984="North",77.2,
IF(B1984="South",80.2,
IF(B1984="East",88.4,
IF(B1984="West",72.8,
78.9))))</f>
        <v>72.8</v>
      </c>
    </row>
    <row r="1985" spans="1:12" x14ac:dyDescent="0.25">
      <c r="A1985" s="5">
        <v>45557</v>
      </c>
      <c r="B1985" s="1" t="s">
        <v>12</v>
      </c>
      <c r="C1985" s="1" t="s">
        <v>19</v>
      </c>
      <c r="D1985" s="1" t="s">
        <v>30</v>
      </c>
      <c r="E1985" s="10">
        <v>3</v>
      </c>
      <c r="F1985" s="10">
        <v>758</v>
      </c>
      <c r="G1985" s="1" t="s">
        <v>35</v>
      </c>
      <c r="H1985" s="10">
        <f t="shared" si="62"/>
        <v>2274</v>
      </c>
      <c r="I1985" s="7">
        <v>1877.6490583866309</v>
      </c>
      <c r="J1985" s="7">
        <f t="shared" si="63"/>
        <v>396.35094161336906</v>
      </c>
      <c r="K1985" s="1">
        <f>IF(B1985="North",28.6,
IF(B1985="South",13,
IF(B1985="East",22.6,
IF(B1985="West",19,
23.5))))</f>
        <v>22.6</v>
      </c>
      <c r="L1985" s="1">
        <f>IF(B1985="North",77.2,
IF(B1985="South",80.2,
IF(B1985="East",88.4,
IF(B1985="West",72.8,
78.9))))</f>
        <v>88.4</v>
      </c>
    </row>
    <row r="1986" spans="1:12" x14ac:dyDescent="0.25">
      <c r="A1986" s="5">
        <v>45623</v>
      </c>
      <c r="B1986" s="1" t="s">
        <v>10</v>
      </c>
      <c r="C1986" s="1" t="s">
        <v>19</v>
      </c>
      <c r="D1986" s="1" t="s">
        <v>30</v>
      </c>
      <c r="E1986" s="10">
        <v>17</v>
      </c>
      <c r="F1986" s="10">
        <v>206</v>
      </c>
      <c r="G1986" s="1" t="s">
        <v>35</v>
      </c>
      <c r="H1986" s="10">
        <f t="shared" si="62"/>
        <v>3502</v>
      </c>
      <c r="I1986" s="7">
        <v>2880.1568136177088</v>
      </c>
      <c r="J1986" s="7">
        <f t="shared" si="63"/>
        <v>621.84318638229115</v>
      </c>
      <c r="K1986" s="1">
        <f>IF(B1986="North",28.6,
IF(B1986="South",13,
IF(B1986="East",22.6,
IF(B1986="West",19,
23.5))))</f>
        <v>28.6</v>
      </c>
      <c r="L1986" s="1">
        <f>IF(B1986="North",77.2,
IF(B1986="South",80.2,
IF(B1986="East",88.4,
IF(B1986="West",72.8,
78.9))))</f>
        <v>77.2</v>
      </c>
    </row>
    <row r="1987" spans="1:12" x14ac:dyDescent="0.25">
      <c r="A1987" s="5">
        <v>45641</v>
      </c>
      <c r="B1987" s="1" t="s">
        <v>13</v>
      </c>
      <c r="C1987" s="1" t="s">
        <v>18</v>
      </c>
      <c r="D1987" s="1" t="s">
        <v>27</v>
      </c>
      <c r="E1987" s="10">
        <v>18</v>
      </c>
      <c r="F1987" s="10">
        <v>481</v>
      </c>
      <c r="G1987" s="1" t="s">
        <v>34</v>
      </c>
      <c r="H1987" s="10">
        <f t="shared" ref="H1987:H2001" si="64">E1987*F1987</f>
        <v>8658</v>
      </c>
      <c r="I1987" s="7">
        <v>5298.8533070130379</v>
      </c>
      <c r="J1987" s="7">
        <f t="shared" ref="J1987:J2001" si="65">H1987-I1987</f>
        <v>3359.1466929869621</v>
      </c>
      <c r="K1987" s="1">
        <f>IF(B1987="North",28.6,
IF(B1987="South",13,
IF(B1987="East",22.6,
IF(B1987="West",19,
23.5))))</f>
        <v>13</v>
      </c>
      <c r="L1987" s="1">
        <f>IF(B1987="North",77.2,
IF(B1987="South",80.2,
IF(B1987="East",88.4,
IF(B1987="West",72.8,
78.9))))</f>
        <v>80.2</v>
      </c>
    </row>
    <row r="1988" spans="1:12" x14ac:dyDescent="0.25">
      <c r="A1988" s="5">
        <v>45652</v>
      </c>
      <c r="B1988" s="1" t="s">
        <v>11</v>
      </c>
      <c r="C1988" s="1" t="s">
        <v>24</v>
      </c>
      <c r="D1988" s="1" t="s">
        <v>31</v>
      </c>
      <c r="E1988" s="10">
        <v>11</v>
      </c>
      <c r="F1988" s="10">
        <v>882</v>
      </c>
      <c r="G1988" s="1" t="s">
        <v>35</v>
      </c>
      <c r="H1988" s="10">
        <f t="shared" si="64"/>
        <v>9702</v>
      </c>
      <c r="I1988" s="7">
        <v>7789.4839711871909</v>
      </c>
      <c r="J1988" s="7">
        <f t="shared" si="65"/>
        <v>1912.5160288128091</v>
      </c>
      <c r="K1988" s="1">
        <f>IF(B1988="North",28.6,
IF(B1988="South",13,
IF(B1988="East",22.6,
IF(B1988="West",19,
23.5))))</f>
        <v>19</v>
      </c>
      <c r="L1988" s="1">
        <f>IF(B1988="North",77.2,
IF(B1988="South",80.2,
IF(B1988="East",88.4,
IF(B1988="West",72.8,
78.9))))</f>
        <v>72.8</v>
      </c>
    </row>
    <row r="1989" spans="1:12" x14ac:dyDescent="0.25">
      <c r="A1989" s="5">
        <v>45548</v>
      </c>
      <c r="B1989" s="1" t="s">
        <v>13</v>
      </c>
      <c r="C1989" s="1" t="s">
        <v>22</v>
      </c>
      <c r="D1989" s="1" t="s">
        <v>30</v>
      </c>
      <c r="E1989" s="10">
        <v>4</v>
      </c>
      <c r="F1989" s="10">
        <v>489</v>
      </c>
      <c r="G1989" s="1" t="s">
        <v>35</v>
      </c>
      <c r="H1989" s="10">
        <f t="shared" si="64"/>
        <v>1956</v>
      </c>
      <c r="I1989" s="7">
        <v>1549.663911089252</v>
      </c>
      <c r="J1989" s="7">
        <f t="shared" si="65"/>
        <v>406.336088910748</v>
      </c>
      <c r="K1989" s="1">
        <f>IF(B1989="North",28.6,
IF(B1989="South",13,
IF(B1989="East",22.6,
IF(B1989="West",19,
23.5))))</f>
        <v>13</v>
      </c>
      <c r="L1989" s="1">
        <f>IF(B1989="North",77.2,
IF(B1989="South",80.2,
IF(B1989="East",88.4,
IF(B1989="West",72.8,
78.9))))</f>
        <v>80.2</v>
      </c>
    </row>
    <row r="1990" spans="1:12" x14ac:dyDescent="0.25">
      <c r="A1990" s="5">
        <v>45424</v>
      </c>
      <c r="B1990" s="1" t="s">
        <v>11</v>
      </c>
      <c r="C1990" s="1" t="s">
        <v>21</v>
      </c>
      <c r="D1990" s="1" t="s">
        <v>30</v>
      </c>
      <c r="E1990" s="10">
        <v>16</v>
      </c>
      <c r="F1990" s="10">
        <v>343</v>
      </c>
      <c r="G1990" s="1" t="s">
        <v>35</v>
      </c>
      <c r="H1990" s="10">
        <f t="shared" si="64"/>
        <v>5488</v>
      </c>
      <c r="I1990" s="7">
        <v>4879.565970195802</v>
      </c>
      <c r="J1990" s="7">
        <f t="shared" si="65"/>
        <v>608.43402980419796</v>
      </c>
      <c r="K1990" s="1">
        <f>IF(B1990="North",28.6,
IF(B1990="South",13,
IF(B1990="East",22.6,
IF(B1990="West",19,
23.5))))</f>
        <v>19</v>
      </c>
      <c r="L1990" s="1">
        <f>IF(B1990="North",77.2,
IF(B1990="South",80.2,
IF(B1990="East",88.4,
IF(B1990="West",72.8,
78.9))))</f>
        <v>72.8</v>
      </c>
    </row>
    <row r="1991" spans="1:12" x14ac:dyDescent="0.25">
      <c r="A1991" s="5">
        <v>45567</v>
      </c>
      <c r="B1991" s="1" t="s">
        <v>12</v>
      </c>
      <c r="C1991" s="1" t="s">
        <v>17</v>
      </c>
      <c r="D1991" s="1" t="s">
        <v>31</v>
      </c>
      <c r="E1991" s="10">
        <v>17</v>
      </c>
      <c r="F1991" s="10">
        <v>684</v>
      </c>
      <c r="G1991" s="1" t="s">
        <v>33</v>
      </c>
      <c r="H1991" s="10">
        <f t="shared" si="64"/>
        <v>11628</v>
      </c>
      <c r="I1991" s="7">
        <v>10348.76631328132</v>
      </c>
      <c r="J1991" s="7">
        <f t="shared" si="65"/>
        <v>1279.2336867186805</v>
      </c>
      <c r="K1991" s="1">
        <f>IF(B1991="North",28.6,
IF(B1991="South",13,
IF(B1991="East",22.6,
IF(B1991="West",19,
23.5))))</f>
        <v>22.6</v>
      </c>
      <c r="L1991" s="1">
        <f>IF(B1991="North",77.2,
IF(B1991="South",80.2,
IF(B1991="East",88.4,
IF(B1991="West",72.8,
78.9))))</f>
        <v>88.4</v>
      </c>
    </row>
    <row r="1992" spans="1:12" x14ac:dyDescent="0.25">
      <c r="A1992" s="5">
        <v>45555</v>
      </c>
      <c r="B1992" s="1" t="s">
        <v>12</v>
      </c>
      <c r="C1992" s="1" t="s">
        <v>18</v>
      </c>
      <c r="D1992" s="1" t="s">
        <v>27</v>
      </c>
      <c r="E1992" s="10">
        <v>9</v>
      </c>
      <c r="F1992" s="10">
        <v>968</v>
      </c>
      <c r="G1992" s="1" t="s">
        <v>34</v>
      </c>
      <c r="H1992" s="10">
        <f t="shared" si="64"/>
        <v>8712</v>
      </c>
      <c r="I1992" s="7">
        <v>6214.6163189616618</v>
      </c>
      <c r="J1992" s="7">
        <f t="shared" si="65"/>
        <v>2497.3836810383382</v>
      </c>
      <c r="K1992" s="1">
        <f>IF(B1992="North",28.6,
IF(B1992="South",13,
IF(B1992="East",22.6,
IF(B1992="West",19,
23.5))))</f>
        <v>22.6</v>
      </c>
      <c r="L1992" s="1">
        <f>IF(B1992="North",77.2,
IF(B1992="South",80.2,
IF(B1992="East",88.4,
IF(B1992="West",72.8,
78.9))))</f>
        <v>88.4</v>
      </c>
    </row>
    <row r="1993" spans="1:12" x14ac:dyDescent="0.25">
      <c r="A1993" s="5">
        <v>45462</v>
      </c>
      <c r="B1993" s="1" t="s">
        <v>12</v>
      </c>
      <c r="C1993" s="1" t="s">
        <v>20</v>
      </c>
      <c r="D1993" s="1" t="s">
        <v>32</v>
      </c>
      <c r="E1993" s="10">
        <v>6</v>
      </c>
      <c r="F1993" s="10">
        <v>567</v>
      </c>
      <c r="G1993" s="1" t="s">
        <v>35</v>
      </c>
      <c r="H1993" s="10">
        <f t="shared" si="64"/>
        <v>3402</v>
      </c>
      <c r="I1993" s="7">
        <v>2643.1926552731161</v>
      </c>
      <c r="J1993" s="7">
        <f t="shared" si="65"/>
        <v>758.80734472688391</v>
      </c>
      <c r="K1993" s="1">
        <f>IF(B1993="North",28.6,
IF(B1993="South",13,
IF(B1993="East",22.6,
IF(B1993="West",19,
23.5))))</f>
        <v>22.6</v>
      </c>
      <c r="L1993" s="1">
        <f>IF(B1993="North",77.2,
IF(B1993="South",80.2,
IF(B1993="East",88.4,
IF(B1993="West",72.8,
78.9))))</f>
        <v>88.4</v>
      </c>
    </row>
    <row r="1994" spans="1:12" x14ac:dyDescent="0.25">
      <c r="A1994" s="5">
        <v>45292</v>
      </c>
      <c r="B1994" s="1" t="s">
        <v>12</v>
      </c>
      <c r="C1994" s="1" t="s">
        <v>18</v>
      </c>
      <c r="D1994" s="1" t="s">
        <v>25</v>
      </c>
      <c r="E1994" s="10">
        <v>2</v>
      </c>
      <c r="F1994" s="10">
        <v>965</v>
      </c>
      <c r="G1994" s="1" t="s">
        <v>34</v>
      </c>
      <c r="H1994" s="10">
        <f t="shared" si="64"/>
        <v>1930</v>
      </c>
      <c r="I1994" s="7">
        <v>1239.8459200603711</v>
      </c>
      <c r="J1994" s="7">
        <f t="shared" si="65"/>
        <v>690.1540799396289</v>
      </c>
      <c r="K1994" s="1">
        <f>IF(B1994="North",28.6,
IF(B1994="South",13,
IF(B1994="East",22.6,
IF(B1994="West",19,
23.5))))</f>
        <v>22.6</v>
      </c>
      <c r="L1994" s="1">
        <f>IF(B1994="North",77.2,
IF(B1994="South",80.2,
IF(B1994="East",88.4,
IF(B1994="West",72.8,
78.9))))</f>
        <v>88.4</v>
      </c>
    </row>
    <row r="1995" spans="1:12" x14ac:dyDescent="0.25">
      <c r="A1995" s="5">
        <v>45604</v>
      </c>
      <c r="B1995" s="1" t="s">
        <v>12</v>
      </c>
      <c r="C1995" s="1" t="s">
        <v>24</v>
      </c>
      <c r="D1995" s="1" t="s">
        <v>32</v>
      </c>
      <c r="E1995" s="10">
        <v>9</v>
      </c>
      <c r="F1995" s="10">
        <v>1033</v>
      </c>
      <c r="G1995" s="1" t="s">
        <v>35</v>
      </c>
      <c r="H1995" s="10">
        <f t="shared" si="64"/>
        <v>9297</v>
      </c>
      <c r="I1995" s="7">
        <v>5763.5538965470423</v>
      </c>
      <c r="J1995" s="7">
        <f t="shared" si="65"/>
        <v>3533.4461034529577</v>
      </c>
      <c r="K1995" s="1">
        <f>IF(B1995="North",28.6,
IF(B1995="South",13,
IF(B1995="East",22.6,
IF(B1995="West",19,
23.5))))</f>
        <v>22.6</v>
      </c>
      <c r="L1995" s="1">
        <f>IF(B1995="North",77.2,
IF(B1995="South",80.2,
IF(B1995="East",88.4,
IF(B1995="West",72.8,
78.9))))</f>
        <v>88.4</v>
      </c>
    </row>
    <row r="1996" spans="1:12" x14ac:dyDescent="0.25">
      <c r="A1996" s="5">
        <v>45355</v>
      </c>
      <c r="B1996" s="1" t="s">
        <v>13</v>
      </c>
      <c r="C1996" s="1" t="s">
        <v>20</v>
      </c>
      <c r="D1996" s="1" t="s">
        <v>30</v>
      </c>
      <c r="E1996" s="10">
        <v>6</v>
      </c>
      <c r="F1996" s="10">
        <v>1661</v>
      </c>
      <c r="G1996" s="1" t="s">
        <v>33</v>
      </c>
      <c r="H1996" s="10">
        <f t="shared" si="64"/>
        <v>9966</v>
      </c>
      <c r="I1996" s="7">
        <v>7273.5252620796673</v>
      </c>
      <c r="J1996" s="7">
        <f t="shared" si="65"/>
        <v>2692.4747379203327</v>
      </c>
      <c r="K1996" s="1">
        <f>IF(B1996="North",28.6,
IF(B1996="South",13,
IF(B1996="East",22.6,
IF(B1996="West",19,
23.5))))</f>
        <v>13</v>
      </c>
      <c r="L1996" s="1">
        <f>IF(B1996="North",77.2,
IF(B1996="South",80.2,
IF(B1996="East",88.4,
IF(B1996="West",72.8,
78.9))))</f>
        <v>80.2</v>
      </c>
    </row>
    <row r="1997" spans="1:12" x14ac:dyDescent="0.25">
      <c r="A1997" s="5">
        <v>45575</v>
      </c>
      <c r="B1997" s="1" t="s">
        <v>12</v>
      </c>
      <c r="C1997" s="1" t="s">
        <v>20</v>
      </c>
      <c r="D1997" s="1" t="s">
        <v>31</v>
      </c>
      <c r="E1997" s="10">
        <v>3</v>
      </c>
      <c r="F1997" s="10">
        <v>1333</v>
      </c>
      <c r="G1997" s="1" t="s">
        <v>33</v>
      </c>
      <c r="H1997" s="10">
        <f t="shared" si="64"/>
        <v>3999</v>
      </c>
      <c r="I1997" s="7">
        <v>3227.0514483987622</v>
      </c>
      <c r="J1997" s="7">
        <f t="shared" si="65"/>
        <v>771.9485516012378</v>
      </c>
      <c r="K1997" s="1">
        <f>IF(B1997="North",28.6,
IF(B1997="South",13,
IF(B1997="East",22.6,
IF(B1997="West",19,
23.5))))</f>
        <v>22.6</v>
      </c>
      <c r="L1997" s="1">
        <f>IF(B1997="North",77.2,
IF(B1997="South",80.2,
IF(B1997="East",88.4,
IF(B1997="West",72.8,
78.9))))</f>
        <v>88.4</v>
      </c>
    </row>
    <row r="1998" spans="1:12" x14ac:dyDescent="0.25">
      <c r="A1998" s="5">
        <v>45412</v>
      </c>
      <c r="B1998" s="1" t="s">
        <v>10</v>
      </c>
      <c r="C1998" s="1" t="s">
        <v>24</v>
      </c>
      <c r="D1998" s="1" t="s">
        <v>30</v>
      </c>
      <c r="E1998" s="10">
        <v>6</v>
      </c>
      <c r="F1998" s="10">
        <v>703</v>
      </c>
      <c r="G1998" s="1" t="s">
        <v>35</v>
      </c>
      <c r="H1998" s="10">
        <f t="shared" si="64"/>
        <v>4218</v>
      </c>
      <c r="I1998" s="7">
        <v>3249.2449241555441</v>
      </c>
      <c r="J1998" s="7">
        <f t="shared" si="65"/>
        <v>968.75507584445586</v>
      </c>
      <c r="K1998" s="1">
        <f>IF(B1998="North",28.6,
IF(B1998="South",13,
IF(B1998="East",22.6,
IF(B1998="West",19,
23.5))))</f>
        <v>28.6</v>
      </c>
      <c r="L1998" s="1">
        <f>IF(B1998="North",77.2,
IF(B1998="South",80.2,
IF(B1998="East",88.4,
IF(B1998="West",72.8,
78.9))))</f>
        <v>77.2</v>
      </c>
    </row>
    <row r="1999" spans="1:12" x14ac:dyDescent="0.25">
      <c r="A1999" s="5">
        <v>45398</v>
      </c>
      <c r="B1999" s="1" t="s">
        <v>10</v>
      </c>
      <c r="C1999" s="1" t="s">
        <v>17</v>
      </c>
      <c r="D1999" s="1" t="s">
        <v>29</v>
      </c>
      <c r="E1999" s="10">
        <v>7</v>
      </c>
      <c r="F1999" s="10">
        <v>1760</v>
      </c>
      <c r="G1999" s="1" t="s">
        <v>33</v>
      </c>
      <c r="H1999" s="10">
        <f t="shared" si="64"/>
        <v>12320</v>
      </c>
      <c r="I1999" s="7">
        <v>8980.0119843994635</v>
      </c>
      <c r="J1999" s="7">
        <f t="shared" si="65"/>
        <v>3339.9880156005365</v>
      </c>
      <c r="K1999" s="1">
        <f>IF(B1999="North",28.6,
IF(B1999="South",13,
IF(B1999="East",22.6,
IF(B1999="West",19,
23.5))))</f>
        <v>28.6</v>
      </c>
      <c r="L1999" s="1">
        <f>IF(B1999="North",77.2,
IF(B1999="South",80.2,
IF(B1999="East",88.4,
IF(B1999="West",72.8,
78.9))))</f>
        <v>77.2</v>
      </c>
    </row>
    <row r="2000" spans="1:12" x14ac:dyDescent="0.25">
      <c r="A2000" s="5">
        <v>45466</v>
      </c>
      <c r="B2000" s="1" t="s">
        <v>13</v>
      </c>
      <c r="C2000" s="1" t="s">
        <v>23</v>
      </c>
      <c r="D2000" s="1" t="s">
        <v>28</v>
      </c>
      <c r="E2000" s="10">
        <v>1</v>
      </c>
      <c r="F2000" s="10">
        <v>1114</v>
      </c>
      <c r="G2000" s="1" t="s">
        <v>34</v>
      </c>
      <c r="H2000" s="10">
        <f t="shared" si="64"/>
        <v>1114</v>
      </c>
      <c r="I2000" s="7">
        <v>941.81321313206843</v>
      </c>
      <c r="J2000" s="7">
        <f t="shared" si="65"/>
        <v>172.18678686793157</v>
      </c>
      <c r="K2000" s="1">
        <f>IF(B2000="North",28.6,
IF(B2000="South",13,
IF(B2000="East",22.6,
IF(B2000="West",19,
23.5))))</f>
        <v>13</v>
      </c>
      <c r="L2000" s="1">
        <f>IF(B2000="North",77.2,
IF(B2000="South",80.2,
IF(B2000="East",88.4,
IF(B2000="West",72.8,
78.9))))</f>
        <v>80.2</v>
      </c>
    </row>
    <row r="2001" spans="1:12" x14ac:dyDescent="0.25">
      <c r="A2001" s="5">
        <v>45495</v>
      </c>
      <c r="B2001" s="1" t="s">
        <v>11</v>
      </c>
      <c r="C2001" s="1" t="s">
        <v>24</v>
      </c>
      <c r="D2001" s="1" t="s">
        <v>32</v>
      </c>
      <c r="E2001" s="10">
        <v>1</v>
      </c>
      <c r="F2001" s="10">
        <v>1196</v>
      </c>
      <c r="G2001" s="1" t="s">
        <v>35</v>
      </c>
      <c r="H2001" s="10">
        <f t="shared" si="64"/>
        <v>1196</v>
      </c>
      <c r="I2001" s="7">
        <v>1002.640577019528</v>
      </c>
      <c r="J2001" s="7">
        <f t="shared" si="65"/>
        <v>193.359422980472</v>
      </c>
      <c r="K2001" s="1">
        <f>IF(B2001="North",28.6,
IF(B2001="South",13,
IF(B2001="East",22.6,
IF(B2001="West",19,
23.5))))</f>
        <v>19</v>
      </c>
      <c r="L2001" s="1">
        <f>IF(B2001="North",77.2,
IF(B2001="South",80.2,
IF(B2001="East",88.4,
IF(B2001="West",72.8,
78.9))))</f>
        <v>72.8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Pranjit</cp:lastModifiedBy>
  <dcterms:created xsi:type="dcterms:W3CDTF">2025-08-25T17:33:08Z</dcterms:created>
  <dcterms:modified xsi:type="dcterms:W3CDTF">2026-03-09T15:28:44Z</dcterms:modified>
</cp:coreProperties>
</file>